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pivotTables/pivotTable3.xml" ContentType="application/vnd.openxmlformats-officedocument.spreadsheetml.pivotTable+xml"/>
  <Override PartName="/xl/tables/table2.xml" ContentType="application/vnd.openxmlformats-officedocument.spreadsheetml.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ADMIN\Desktop\data analytics\Excel projects\"/>
    </mc:Choice>
  </mc:AlternateContent>
  <xr:revisionPtr revIDLastSave="0" documentId="8_{19A8A487-E645-440B-B712-76033600F2ED}" xr6:coauthVersionLast="47" xr6:coauthVersionMax="47" xr10:uidLastSave="{00000000-0000-0000-0000-000000000000}"/>
  <bookViews>
    <workbookView xWindow="-108" yWindow="-108" windowWidth="23256" windowHeight="12456" activeTab="3" xr2:uid="{00000000-000D-0000-FFFF-FFFF00000000}"/>
  </bookViews>
  <sheets>
    <sheet name="Detail1" sheetId="15" r:id="rId1"/>
    <sheet name="ANALYSIS" sheetId="2" r:id="rId2"/>
    <sheet name="ROW_DATA" sheetId="1" r:id="rId3"/>
    <sheet name="DASHBOARD" sheetId="14" r:id="rId4"/>
  </sheets>
  <calcPr calcId="191029"/>
  <pivotCaches>
    <pivotCache cacheId="0" r:id="rId5"/>
  </pivotCaches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J2" i="1" l="1"/>
  <c r="J3" i="1"/>
  <c r="J4" i="1"/>
  <c r="J5" i="1"/>
  <c r="J6" i="1"/>
  <c r="J7" i="1"/>
  <c r="J8" i="1"/>
  <c r="J9" i="1"/>
  <c r="J10" i="1"/>
  <c r="J11" i="1"/>
  <c r="J12" i="1"/>
  <c r="J13" i="1"/>
  <c r="J14" i="1"/>
  <c r="J15" i="1"/>
  <c r="J16" i="1"/>
  <c r="J17" i="1"/>
  <c r="J18" i="1"/>
  <c r="J19" i="1"/>
  <c r="J20" i="1"/>
  <c r="J21" i="1"/>
  <c r="J22" i="1"/>
  <c r="J23" i="1"/>
  <c r="J24" i="1"/>
  <c r="J25" i="1"/>
  <c r="J26" i="1"/>
  <c r="J27" i="1"/>
  <c r="J28" i="1"/>
  <c r="J29" i="1"/>
  <c r="J30" i="1"/>
  <c r="J31" i="1"/>
  <c r="J32" i="1"/>
  <c r="J33" i="1"/>
  <c r="J34" i="1"/>
  <c r="J35" i="1"/>
  <c r="J36" i="1"/>
  <c r="J37" i="1"/>
  <c r="J38" i="1"/>
  <c r="J39" i="1"/>
  <c r="J40" i="1"/>
  <c r="J41" i="1"/>
  <c r="J42" i="1"/>
  <c r="J43" i="1"/>
  <c r="J44" i="1"/>
  <c r="J45" i="1"/>
  <c r="J46" i="1"/>
  <c r="J47" i="1"/>
  <c r="J48" i="1"/>
  <c r="J49" i="1"/>
  <c r="J50" i="1"/>
  <c r="J51" i="1"/>
  <c r="J52" i="1"/>
  <c r="J53" i="1"/>
  <c r="J54" i="1"/>
  <c r="J55" i="1"/>
  <c r="J56" i="1"/>
  <c r="J57" i="1"/>
  <c r="J58" i="1"/>
  <c r="J59" i="1"/>
  <c r="J60" i="1"/>
  <c r="J61" i="1"/>
  <c r="J62" i="1"/>
  <c r="J63" i="1"/>
  <c r="J64" i="1"/>
  <c r="J65" i="1"/>
  <c r="J66" i="1"/>
  <c r="J67" i="1"/>
  <c r="J68" i="1"/>
  <c r="J69" i="1"/>
  <c r="J70" i="1"/>
  <c r="J71" i="1"/>
  <c r="J72" i="1"/>
  <c r="J73" i="1"/>
  <c r="J74" i="1"/>
  <c r="J75" i="1"/>
  <c r="J76" i="1"/>
  <c r="J77" i="1"/>
  <c r="J78" i="1"/>
  <c r="J79" i="1"/>
  <c r="J80" i="1"/>
  <c r="J81" i="1"/>
  <c r="J82" i="1"/>
  <c r="J83" i="1"/>
  <c r="J84" i="1"/>
  <c r="J85" i="1"/>
  <c r="J86" i="1"/>
  <c r="J87" i="1"/>
  <c r="J88" i="1"/>
  <c r="J89" i="1"/>
  <c r="J90" i="1"/>
  <c r="J91" i="1"/>
  <c r="J92" i="1"/>
  <c r="J93" i="1"/>
  <c r="J94" i="1"/>
  <c r="J95" i="1"/>
  <c r="J96" i="1"/>
  <c r="J97" i="1"/>
  <c r="J98" i="1"/>
  <c r="J99" i="1"/>
  <c r="J100" i="1"/>
  <c r="J101" i="1"/>
  <c r="J102" i="1"/>
  <c r="J103" i="1"/>
  <c r="J104" i="1"/>
  <c r="J105" i="1"/>
  <c r="J106" i="1"/>
  <c r="J107" i="1"/>
  <c r="J108" i="1"/>
  <c r="J109" i="1"/>
  <c r="J110" i="1"/>
  <c r="J111" i="1"/>
  <c r="J112" i="1"/>
  <c r="J113" i="1"/>
  <c r="J114" i="1"/>
  <c r="J115" i="1"/>
  <c r="J116" i="1"/>
  <c r="J117" i="1"/>
  <c r="J118" i="1"/>
  <c r="J119" i="1"/>
  <c r="J120" i="1"/>
  <c r="J121" i="1"/>
  <c r="J122" i="1"/>
  <c r="J123" i="1"/>
  <c r="J124" i="1"/>
  <c r="J125" i="1"/>
  <c r="J126" i="1"/>
  <c r="J127" i="1"/>
  <c r="J128" i="1"/>
  <c r="J129" i="1"/>
  <c r="J130" i="1"/>
  <c r="J131" i="1"/>
  <c r="J132" i="1"/>
  <c r="J133" i="1"/>
  <c r="J134" i="1"/>
  <c r="J135" i="1"/>
  <c r="J136" i="1"/>
  <c r="J137" i="1"/>
  <c r="J138" i="1"/>
  <c r="J139" i="1"/>
  <c r="J140" i="1"/>
  <c r="J141" i="1"/>
  <c r="J142" i="1"/>
  <c r="J143" i="1"/>
  <c r="J144" i="1"/>
  <c r="J145" i="1"/>
  <c r="J146" i="1"/>
  <c r="J147" i="1"/>
  <c r="J148" i="1"/>
  <c r="J149" i="1"/>
  <c r="J150" i="1"/>
  <c r="J151" i="1"/>
  <c r="J152" i="1"/>
  <c r="J153" i="1"/>
  <c r="J154" i="1"/>
  <c r="J155" i="1"/>
  <c r="J156" i="1"/>
  <c r="J157" i="1"/>
  <c r="J158" i="1"/>
  <c r="J159" i="1"/>
  <c r="J160" i="1"/>
  <c r="J161" i="1"/>
  <c r="J162" i="1"/>
  <c r="J163" i="1"/>
  <c r="J164" i="1"/>
  <c r="J165" i="1"/>
  <c r="J166" i="1"/>
  <c r="J167" i="1"/>
  <c r="J168" i="1"/>
  <c r="J169" i="1"/>
  <c r="J170" i="1"/>
  <c r="J171" i="1"/>
  <c r="J172" i="1"/>
  <c r="J173" i="1"/>
  <c r="J174" i="1"/>
  <c r="J175" i="1"/>
  <c r="J176" i="1"/>
  <c r="J177" i="1"/>
  <c r="J178" i="1"/>
  <c r="J179" i="1"/>
  <c r="J180" i="1"/>
  <c r="J181" i="1"/>
  <c r="J182" i="1"/>
  <c r="J183" i="1"/>
  <c r="J184" i="1"/>
  <c r="J185" i="1"/>
  <c r="J186" i="1"/>
  <c r="J187" i="1"/>
  <c r="J188" i="1"/>
  <c r="J189" i="1"/>
  <c r="J190" i="1"/>
  <c r="J191" i="1"/>
  <c r="J192" i="1"/>
  <c r="J193" i="1"/>
  <c r="J194" i="1"/>
  <c r="J195" i="1"/>
  <c r="J196" i="1"/>
  <c r="J197" i="1"/>
  <c r="J198" i="1"/>
  <c r="J199" i="1"/>
  <c r="J200" i="1"/>
  <c r="J201" i="1"/>
  <c r="M141" i="1"/>
  <c r="M142" i="1"/>
  <c r="M143" i="1"/>
  <c r="M189" i="1"/>
  <c r="A39" i="14"/>
  <c r="B39" i="14"/>
  <c r="C39" i="14"/>
  <c r="K2" i="1"/>
  <c r="K3" i="1"/>
  <c r="K4" i="1"/>
  <c r="K5" i="1"/>
  <c r="K6" i="1"/>
  <c r="K7" i="1"/>
  <c r="K8" i="1"/>
  <c r="K9" i="1"/>
  <c r="K10" i="1"/>
  <c r="K11" i="1"/>
  <c r="K12" i="1"/>
  <c r="K13" i="1"/>
  <c r="K14" i="1"/>
  <c r="K15" i="1"/>
  <c r="K16" i="1"/>
  <c r="K17" i="1"/>
  <c r="K18" i="1"/>
  <c r="K19" i="1"/>
  <c r="K20" i="1"/>
  <c r="K21" i="1"/>
  <c r="K22" i="1"/>
  <c r="K23" i="1"/>
  <c r="K24" i="1"/>
  <c r="K25" i="1"/>
  <c r="K26" i="1"/>
  <c r="K27" i="1"/>
  <c r="K28" i="1"/>
  <c r="K29" i="1"/>
  <c r="K30" i="1"/>
  <c r="K31" i="1"/>
  <c r="K32" i="1"/>
  <c r="K33" i="1"/>
  <c r="K34" i="1"/>
  <c r="K35" i="1"/>
  <c r="K36" i="1"/>
  <c r="K37" i="1"/>
  <c r="K38" i="1"/>
  <c r="K39" i="1"/>
  <c r="K40" i="1"/>
  <c r="K41" i="1"/>
  <c r="K42" i="1"/>
  <c r="K43" i="1"/>
  <c r="K44" i="1"/>
  <c r="K45" i="1"/>
  <c r="K46" i="1"/>
  <c r="K47" i="1"/>
  <c r="K48" i="1"/>
  <c r="K49" i="1"/>
  <c r="K50" i="1"/>
  <c r="K51" i="1"/>
  <c r="K52" i="1"/>
  <c r="K53" i="1"/>
  <c r="K54" i="1"/>
  <c r="K55" i="1"/>
  <c r="K56" i="1"/>
  <c r="K57" i="1"/>
  <c r="K58" i="1"/>
  <c r="K59" i="1"/>
  <c r="K60" i="1"/>
  <c r="K61" i="1"/>
  <c r="K62" i="1"/>
  <c r="K63" i="1"/>
  <c r="K64" i="1"/>
  <c r="K65" i="1"/>
  <c r="K66" i="1"/>
  <c r="K67" i="1"/>
  <c r="K68" i="1"/>
  <c r="K69" i="1"/>
  <c r="K70" i="1"/>
  <c r="K71" i="1"/>
  <c r="K72" i="1"/>
  <c r="K73" i="1"/>
  <c r="K74" i="1"/>
  <c r="K75" i="1"/>
  <c r="K76" i="1"/>
  <c r="K77" i="1"/>
  <c r="K78" i="1"/>
  <c r="K79" i="1"/>
  <c r="K80" i="1"/>
  <c r="K81" i="1"/>
  <c r="K82" i="1"/>
  <c r="K83" i="1"/>
  <c r="K84" i="1"/>
  <c r="K85" i="1"/>
  <c r="K86" i="1"/>
  <c r="K87" i="1"/>
  <c r="K88" i="1"/>
  <c r="K89" i="1"/>
  <c r="K90" i="1"/>
  <c r="K91" i="1"/>
  <c r="K92" i="1"/>
  <c r="K93" i="1"/>
  <c r="K94" i="1"/>
  <c r="K95" i="1"/>
  <c r="K96" i="1"/>
  <c r="K97" i="1"/>
  <c r="K98" i="1"/>
  <c r="K99" i="1"/>
  <c r="K100" i="1"/>
  <c r="K101" i="1"/>
  <c r="K102" i="1"/>
  <c r="K103" i="1"/>
  <c r="K104" i="1"/>
  <c r="K105" i="1"/>
  <c r="K106" i="1"/>
  <c r="K107" i="1"/>
  <c r="K108" i="1"/>
  <c r="K109" i="1"/>
  <c r="K110" i="1"/>
  <c r="K111" i="1"/>
  <c r="K112" i="1"/>
  <c r="K113" i="1"/>
  <c r="K114" i="1"/>
  <c r="K115" i="1"/>
  <c r="K116" i="1"/>
  <c r="K117" i="1"/>
  <c r="K118" i="1"/>
  <c r="K119" i="1"/>
  <c r="K120" i="1"/>
  <c r="K121" i="1"/>
  <c r="K122" i="1"/>
  <c r="K123" i="1"/>
  <c r="K124" i="1"/>
  <c r="K125" i="1"/>
  <c r="K126" i="1"/>
  <c r="K127" i="1"/>
  <c r="K128" i="1"/>
  <c r="K129" i="1"/>
  <c r="K130" i="1"/>
  <c r="K131" i="1"/>
  <c r="K132" i="1"/>
  <c r="K133" i="1"/>
  <c r="K134" i="1"/>
  <c r="K135" i="1"/>
  <c r="K136" i="1"/>
  <c r="K137" i="1"/>
  <c r="K138" i="1"/>
  <c r="K139" i="1"/>
  <c r="K140" i="1"/>
  <c r="K141" i="1"/>
  <c r="K142" i="1"/>
  <c r="K143" i="1"/>
  <c r="K144" i="1"/>
  <c r="K145" i="1"/>
  <c r="K146" i="1"/>
  <c r="K147" i="1"/>
  <c r="K148" i="1"/>
  <c r="K149" i="1"/>
  <c r="K150" i="1"/>
  <c r="K151" i="1"/>
  <c r="K152" i="1"/>
  <c r="K153" i="1"/>
  <c r="K154" i="1"/>
  <c r="K155" i="1"/>
  <c r="K156" i="1"/>
  <c r="K157" i="1"/>
  <c r="K158" i="1"/>
  <c r="K159" i="1"/>
  <c r="K160" i="1"/>
  <c r="K161" i="1"/>
  <c r="K162" i="1"/>
  <c r="K163" i="1"/>
  <c r="K164" i="1"/>
  <c r="K165" i="1"/>
  <c r="K166" i="1"/>
  <c r="K167" i="1"/>
  <c r="K168" i="1"/>
  <c r="K169" i="1"/>
  <c r="K170" i="1"/>
  <c r="K171" i="1"/>
  <c r="K172" i="1"/>
  <c r="K173" i="1"/>
  <c r="K174" i="1"/>
  <c r="K175" i="1"/>
  <c r="K176" i="1"/>
  <c r="K177" i="1"/>
  <c r="K178" i="1"/>
  <c r="K179" i="1"/>
  <c r="K180" i="1"/>
  <c r="K181" i="1"/>
  <c r="K182" i="1"/>
  <c r="K183" i="1"/>
  <c r="K184" i="1"/>
  <c r="K185" i="1"/>
  <c r="K186" i="1"/>
  <c r="K187" i="1"/>
  <c r="K188" i="1"/>
  <c r="K189" i="1"/>
  <c r="K190" i="1"/>
  <c r="K191" i="1"/>
  <c r="K192" i="1"/>
  <c r="K193" i="1"/>
  <c r="K194" i="1"/>
  <c r="K195" i="1"/>
  <c r="K196" i="1"/>
  <c r="K197" i="1"/>
  <c r="K198" i="1"/>
  <c r="K199" i="1"/>
  <c r="K200" i="1"/>
  <c r="K201" i="1"/>
  <c r="L2" i="1"/>
  <c r="M2" i="1" s="1"/>
  <c r="L3" i="1"/>
  <c r="M3" i="1" s="1"/>
  <c r="L4" i="1"/>
  <c r="M4" i="1" s="1"/>
  <c r="L5" i="1"/>
  <c r="M5" i="1" s="1"/>
  <c r="L6" i="1"/>
  <c r="M6" i="1" s="1"/>
  <c r="L7" i="1"/>
  <c r="M7" i="1" s="1"/>
  <c r="L8" i="1"/>
  <c r="M8" i="1" s="1"/>
  <c r="L9" i="1"/>
  <c r="M9" i="1" s="1"/>
  <c r="L10" i="1"/>
  <c r="M10" i="1" s="1"/>
  <c r="L11" i="1"/>
  <c r="M11" i="1" s="1"/>
  <c r="L12" i="1"/>
  <c r="M12" i="1" s="1"/>
  <c r="L13" i="1"/>
  <c r="M13" i="1" s="1"/>
  <c r="L14" i="1"/>
  <c r="M14" i="1" s="1"/>
  <c r="L15" i="1"/>
  <c r="M15" i="1" s="1"/>
  <c r="L16" i="1"/>
  <c r="M16" i="1" s="1"/>
  <c r="L17" i="1"/>
  <c r="M17" i="1" s="1"/>
  <c r="L18" i="1"/>
  <c r="M18" i="1" s="1"/>
  <c r="L19" i="1"/>
  <c r="M19" i="1" s="1"/>
  <c r="L20" i="1"/>
  <c r="M20" i="1" s="1"/>
  <c r="L21" i="1"/>
  <c r="M21" i="1" s="1"/>
  <c r="L22" i="1"/>
  <c r="M22" i="1" s="1"/>
  <c r="L23" i="1"/>
  <c r="M23" i="1" s="1"/>
  <c r="L24" i="1"/>
  <c r="M24" i="1" s="1"/>
  <c r="L25" i="1"/>
  <c r="M25" i="1" s="1"/>
  <c r="L26" i="1"/>
  <c r="M26" i="1" s="1"/>
  <c r="L27" i="1"/>
  <c r="M27" i="1" s="1"/>
  <c r="L28" i="1"/>
  <c r="M28" i="1" s="1"/>
  <c r="L29" i="1"/>
  <c r="M29" i="1" s="1"/>
  <c r="L30" i="1"/>
  <c r="M30" i="1" s="1"/>
  <c r="L31" i="1"/>
  <c r="M31" i="1" s="1"/>
  <c r="L32" i="1"/>
  <c r="M32" i="1" s="1"/>
  <c r="L33" i="1"/>
  <c r="M33" i="1" s="1"/>
  <c r="L34" i="1"/>
  <c r="M34" i="1" s="1"/>
  <c r="L35" i="1"/>
  <c r="M35" i="1" s="1"/>
  <c r="L36" i="1"/>
  <c r="M36" i="1" s="1"/>
  <c r="L37" i="1"/>
  <c r="M37" i="1" s="1"/>
  <c r="L38" i="1"/>
  <c r="M38" i="1" s="1"/>
  <c r="L39" i="1"/>
  <c r="M39" i="1" s="1"/>
  <c r="L40" i="1"/>
  <c r="M40" i="1" s="1"/>
  <c r="L41" i="1"/>
  <c r="M41" i="1" s="1"/>
  <c r="L42" i="1"/>
  <c r="M42" i="1" s="1"/>
  <c r="L43" i="1"/>
  <c r="M43" i="1" s="1"/>
  <c r="L44" i="1"/>
  <c r="M44" i="1" s="1"/>
  <c r="L45" i="1"/>
  <c r="M45" i="1" s="1"/>
  <c r="L46" i="1"/>
  <c r="M46" i="1" s="1"/>
  <c r="L47" i="1"/>
  <c r="M47" i="1" s="1"/>
  <c r="L48" i="1"/>
  <c r="M48" i="1" s="1"/>
  <c r="L49" i="1"/>
  <c r="M49" i="1" s="1"/>
  <c r="L50" i="1"/>
  <c r="M50" i="1" s="1"/>
  <c r="L51" i="1"/>
  <c r="M51" i="1" s="1"/>
  <c r="L52" i="1"/>
  <c r="M52" i="1" s="1"/>
  <c r="L53" i="1"/>
  <c r="M53" i="1" s="1"/>
  <c r="L54" i="1"/>
  <c r="M54" i="1" s="1"/>
  <c r="L55" i="1"/>
  <c r="M55" i="1" s="1"/>
  <c r="L56" i="1"/>
  <c r="M56" i="1" s="1"/>
  <c r="L57" i="1"/>
  <c r="M57" i="1" s="1"/>
  <c r="L58" i="1"/>
  <c r="M58" i="1" s="1"/>
  <c r="L59" i="1"/>
  <c r="M59" i="1" s="1"/>
  <c r="L60" i="1"/>
  <c r="M60" i="1" s="1"/>
  <c r="L61" i="1"/>
  <c r="M61" i="1" s="1"/>
  <c r="L62" i="1"/>
  <c r="M62" i="1" s="1"/>
  <c r="L63" i="1"/>
  <c r="M63" i="1" s="1"/>
  <c r="L64" i="1"/>
  <c r="M64" i="1" s="1"/>
  <c r="L65" i="1"/>
  <c r="M65" i="1" s="1"/>
  <c r="L66" i="1"/>
  <c r="M66" i="1" s="1"/>
  <c r="L67" i="1"/>
  <c r="M67" i="1" s="1"/>
  <c r="L68" i="1"/>
  <c r="M68" i="1" s="1"/>
  <c r="L69" i="1"/>
  <c r="M69" i="1" s="1"/>
  <c r="L70" i="1"/>
  <c r="M70" i="1" s="1"/>
  <c r="L71" i="1"/>
  <c r="M71" i="1" s="1"/>
  <c r="L72" i="1"/>
  <c r="M72" i="1" s="1"/>
  <c r="L73" i="1"/>
  <c r="M73" i="1" s="1"/>
  <c r="L74" i="1"/>
  <c r="M74" i="1" s="1"/>
  <c r="L75" i="1"/>
  <c r="M75" i="1" s="1"/>
  <c r="L76" i="1"/>
  <c r="M76" i="1" s="1"/>
  <c r="L77" i="1"/>
  <c r="M77" i="1" s="1"/>
  <c r="L78" i="1"/>
  <c r="M78" i="1" s="1"/>
  <c r="L79" i="1"/>
  <c r="M79" i="1" s="1"/>
  <c r="L80" i="1"/>
  <c r="M80" i="1" s="1"/>
  <c r="L81" i="1"/>
  <c r="M81" i="1" s="1"/>
  <c r="L82" i="1"/>
  <c r="M82" i="1" s="1"/>
  <c r="L83" i="1"/>
  <c r="M83" i="1" s="1"/>
  <c r="L84" i="1"/>
  <c r="M84" i="1" s="1"/>
  <c r="L85" i="1"/>
  <c r="M85" i="1" s="1"/>
  <c r="L86" i="1"/>
  <c r="M86" i="1" s="1"/>
  <c r="L87" i="1"/>
  <c r="M87" i="1" s="1"/>
  <c r="L88" i="1"/>
  <c r="M88" i="1" s="1"/>
  <c r="L89" i="1"/>
  <c r="M89" i="1" s="1"/>
  <c r="L90" i="1"/>
  <c r="M90" i="1" s="1"/>
  <c r="L91" i="1"/>
  <c r="M91" i="1" s="1"/>
  <c r="L92" i="1"/>
  <c r="M92" i="1" s="1"/>
  <c r="L93" i="1"/>
  <c r="M93" i="1" s="1"/>
  <c r="L94" i="1"/>
  <c r="M94" i="1" s="1"/>
  <c r="L95" i="1"/>
  <c r="M95" i="1" s="1"/>
  <c r="L96" i="1"/>
  <c r="M96" i="1" s="1"/>
  <c r="L97" i="1"/>
  <c r="M97" i="1" s="1"/>
  <c r="L98" i="1"/>
  <c r="M98" i="1" s="1"/>
  <c r="L99" i="1"/>
  <c r="M99" i="1" s="1"/>
  <c r="L100" i="1"/>
  <c r="M100" i="1" s="1"/>
  <c r="L101" i="1"/>
  <c r="M101" i="1" s="1"/>
  <c r="L102" i="1"/>
  <c r="M102" i="1" s="1"/>
  <c r="L103" i="1"/>
  <c r="M103" i="1" s="1"/>
  <c r="L104" i="1"/>
  <c r="M104" i="1" s="1"/>
  <c r="L105" i="1"/>
  <c r="M105" i="1" s="1"/>
  <c r="L106" i="1"/>
  <c r="M106" i="1" s="1"/>
  <c r="L107" i="1"/>
  <c r="M107" i="1" s="1"/>
  <c r="L108" i="1"/>
  <c r="M108" i="1" s="1"/>
  <c r="L109" i="1"/>
  <c r="M109" i="1" s="1"/>
  <c r="L110" i="1"/>
  <c r="M110" i="1" s="1"/>
  <c r="L111" i="1"/>
  <c r="M111" i="1" s="1"/>
  <c r="L112" i="1"/>
  <c r="M112" i="1" s="1"/>
  <c r="L113" i="1"/>
  <c r="M113" i="1" s="1"/>
  <c r="L114" i="1"/>
  <c r="M114" i="1" s="1"/>
  <c r="L115" i="1"/>
  <c r="M115" i="1" s="1"/>
  <c r="L116" i="1"/>
  <c r="M116" i="1" s="1"/>
  <c r="L117" i="1"/>
  <c r="M117" i="1" s="1"/>
  <c r="L118" i="1"/>
  <c r="M118" i="1" s="1"/>
  <c r="L119" i="1"/>
  <c r="M119" i="1" s="1"/>
  <c r="L120" i="1"/>
  <c r="M120" i="1" s="1"/>
  <c r="L121" i="1"/>
  <c r="M121" i="1" s="1"/>
  <c r="L122" i="1"/>
  <c r="M122" i="1" s="1"/>
  <c r="L123" i="1"/>
  <c r="M123" i="1" s="1"/>
  <c r="L124" i="1"/>
  <c r="M124" i="1" s="1"/>
  <c r="L125" i="1"/>
  <c r="M125" i="1" s="1"/>
  <c r="L126" i="1"/>
  <c r="M126" i="1" s="1"/>
  <c r="L127" i="1"/>
  <c r="M127" i="1" s="1"/>
  <c r="L128" i="1"/>
  <c r="M128" i="1" s="1"/>
  <c r="L129" i="1"/>
  <c r="M129" i="1" s="1"/>
  <c r="L130" i="1"/>
  <c r="M130" i="1" s="1"/>
  <c r="L131" i="1"/>
  <c r="M131" i="1" s="1"/>
  <c r="L132" i="1"/>
  <c r="M132" i="1" s="1"/>
  <c r="L133" i="1"/>
  <c r="M133" i="1" s="1"/>
  <c r="L134" i="1"/>
  <c r="M134" i="1" s="1"/>
  <c r="L135" i="1"/>
  <c r="M135" i="1" s="1"/>
  <c r="L136" i="1"/>
  <c r="M136" i="1" s="1"/>
  <c r="L137" i="1"/>
  <c r="M137" i="1" s="1"/>
  <c r="L138" i="1"/>
  <c r="M138" i="1" s="1"/>
  <c r="L139" i="1"/>
  <c r="M139" i="1" s="1"/>
  <c r="L140" i="1"/>
  <c r="M140" i="1" s="1"/>
  <c r="L141" i="1"/>
  <c r="L142" i="1"/>
  <c r="L143" i="1"/>
  <c r="L144" i="1"/>
  <c r="M144" i="1" s="1"/>
  <c r="L145" i="1"/>
  <c r="M145" i="1" s="1"/>
  <c r="L146" i="1"/>
  <c r="M146" i="1" s="1"/>
  <c r="L147" i="1"/>
  <c r="M147" i="1" s="1"/>
  <c r="L148" i="1"/>
  <c r="M148" i="1" s="1"/>
  <c r="L149" i="1"/>
  <c r="M149" i="1" s="1"/>
  <c r="L150" i="1"/>
  <c r="M150" i="1" s="1"/>
  <c r="L151" i="1"/>
  <c r="M151" i="1" s="1"/>
  <c r="L152" i="1"/>
  <c r="M152" i="1" s="1"/>
  <c r="L153" i="1"/>
  <c r="M153" i="1" s="1"/>
  <c r="L154" i="1"/>
  <c r="M154" i="1" s="1"/>
  <c r="L155" i="1"/>
  <c r="M155" i="1" s="1"/>
  <c r="L156" i="1"/>
  <c r="M156" i="1" s="1"/>
  <c r="L157" i="1"/>
  <c r="M157" i="1" s="1"/>
  <c r="L158" i="1"/>
  <c r="M158" i="1" s="1"/>
  <c r="L159" i="1"/>
  <c r="M159" i="1" s="1"/>
  <c r="L160" i="1"/>
  <c r="M160" i="1" s="1"/>
  <c r="L161" i="1"/>
  <c r="M161" i="1" s="1"/>
  <c r="L162" i="1"/>
  <c r="M162" i="1" s="1"/>
  <c r="L163" i="1"/>
  <c r="M163" i="1" s="1"/>
  <c r="L164" i="1"/>
  <c r="M164" i="1" s="1"/>
  <c r="L165" i="1"/>
  <c r="M165" i="1" s="1"/>
  <c r="L166" i="1"/>
  <c r="M166" i="1" s="1"/>
  <c r="L167" i="1"/>
  <c r="M167" i="1" s="1"/>
  <c r="L168" i="1"/>
  <c r="M168" i="1" s="1"/>
  <c r="L169" i="1"/>
  <c r="M169" i="1" s="1"/>
  <c r="L170" i="1"/>
  <c r="M170" i="1" s="1"/>
  <c r="L171" i="1"/>
  <c r="M171" i="1" s="1"/>
  <c r="L172" i="1"/>
  <c r="M172" i="1" s="1"/>
  <c r="L173" i="1"/>
  <c r="M173" i="1" s="1"/>
  <c r="L174" i="1"/>
  <c r="M174" i="1" s="1"/>
  <c r="L175" i="1"/>
  <c r="M175" i="1" s="1"/>
  <c r="L176" i="1"/>
  <c r="M176" i="1" s="1"/>
  <c r="L177" i="1"/>
  <c r="M177" i="1" s="1"/>
  <c r="L178" i="1"/>
  <c r="M178" i="1" s="1"/>
  <c r="L179" i="1"/>
  <c r="M179" i="1" s="1"/>
  <c r="L180" i="1"/>
  <c r="M180" i="1" s="1"/>
  <c r="L181" i="1"/>
  <c r="M181" i="1" s="1"/>
  <c r="L182" i="1"/>
  <c r="M182" i="1" s="1"/>
  <c r="L183" i="1"/>
  <c r="M183" i="1" s="1"/>
  <c r="L184" i="1"/>
  <c r="M184" i="1" s="1"/>
  <c r="L185" i="1"/>
  <c r="M185" i="1" s="1"/>
  <c r="L186" i="1"/>
  <c r="M186" i="1" s="1"/>
  <c r="L187" i="1"/>
  <c r="M187" i="1" s="1"/>
  <c r="L188" i="1"/>
  <c r="M188" i="1" s="1"/>
  <c r="L189" i="1"/>
  <c r="L190" i="1"/>
  <c r="M190" i="1" s="1"/>
  <c r="L191" i="1"/>
  <c r="M191" i="1" s="1"/>
  <c r="L192" i="1"/>
  <c r="M192" i="1" s="1"/>
  <c r="L193" i="1"/>
  <c r="M193" i="1" s="1"/>
  <c r="L194" i="1"/>
  <c r="M194" i="1" s="1"/>
  <c r="L195" i="1"/>
  <c r="M195" i="1" s="1"/>
  <c r="L196" i="1"/>
  <c r="M196" i="1" s="1"/>
  <c r="L197" i="1"/>
  <c r="M197" i="1" s="1"/>
  <c r="L198" i="1"/>
  <c r="M198" i="1" s="1"/>
  <c r="L199" i="1"/>
  <c r="M199" i="1" s="1"/>
  <c r="L200" i="1"/>
  <c r="M200" i="1" s="1"/>
  <c r="L201" i="1"/>
  <c r="M201" i="1" s="1"/>
</calcChain>
</file>

<file path=xl/sharedStrings.xml><?xml version="1.0" encoding="utf-8"?>
<sst xmlns="http://schemas.openxmlformats.org/spreadsheetml/2006/main" count="2267" uniqueCount="203">
  <si>
    <t>Order_ID</t>
  </si>
  <si>
    <t>City</t>
  </si>
  <si>
    <t>Category</t>
  </si>
  <si>
    <t>Quantity</t>
  </si>
  <si>
    <t>Unit_Price</t>
  </si>
  <si>
    <t>Total_Sales</t>
  </si>
  <si>
    <t>Profit</t>
  </si>
  <si>
    <t>Payment_Method</t>
  </si>
  <si>
    <t>Order_Date</t>
  </si>
  <si>
    <t>Delhi</t>
  </si>
  <si>
    <t>Mumbai</t>
  </si>
  <si>
    <t>Hyderabad</t>
  </si>
  <si>
    <t>Pune</t>
  </si>
  <si>
    <t>Bangalore</t>
  </si>
  <si>
    <t>Groceries</t>
  </si>
  <si>
    <t>Electronics</t>
  </si>
  <si>
    <t>Furniture</t>
  </si>
  <si>
    <t>Clothing</t>
  </si>
  <si>
    <t>UPI</t>
  </si>
  <si>
    <t>Card</t>
  </si>
  <si>
    <t>Cash</t>
  </si>
  <si>
    <t>2023-10-10</t>
  </si>
  <si>
    <t>2023-05-20</t>
  </si>
  <si>
    <t>2023-03-24</t>
  </si>
  <si>
    <t>2023-02-14</t>
  </si>
  <si>
    <t>2023-05-03</t>
  </si>
  <si>
    <t>2023-05-21</t>
  </si>
  <si>
    <t>2023-06-13</t>
  </si>
  <si>
    <t>2023-09-01</t>
  </si>
  <si>
    <t>2023-07-11</t>
  </si>
  <si>
    <t>2023-10-04</t>
  </si>
  <si>
    <t>2023-02-04</t>
  </si>
  <si>
    <t>2023-02-23</t>
  </si>
  <si>
    <t>2023-04-03</t>
  </si>
  <si>
    <t>2023-09-08</t>
  </si>
  <si>
    <t>2023-06-30</t>
  </si>
  <si>
    <t>2023-12-07</t>
  </si>
  <si>
    <t>2023-05-28</t>
  </si>
  <si>
    <t>2023-02-10</t>
  </si>
  <si>
    <t>2023-04-28</t>
  </si>
  <si>
    <t>2023-12-31</t>
  </si>
  <si>
    <t>2023-07-15</t>
  </si>
  <si>
    <t>2023-03-15</t>
  </si>
  <si>
    <t>2023-06-03</t>
  </si>
  <si>
    <t>2023-05-08</t>
  </si>
  <si>
    <t>2023-10-11</t>
  </si>
  <si>
    <t>2023-11-17</t>
  </si>
  <si>
    <t>2023-11-18</t>
  </si>
  <si>
    <t>2023-05-17</t>
  </si>
  <si>
    <t>2023-08-03</t>
  </si>
  <si>
    <t>2023-04-29</t>
  </si>
  <si>
    <t>2023-01-02</t>
  </si>
  <si>
    <t>2023-07-09</t>
  </si>
  <si>
    <t>2023-01-25</t>
  </si>
  <si>
    <t>2023-09-27</t>
  </si>
  <si>
    <t>2023-06-24</t>
  </si>
  <si>
    <t>2023-06-22</t>
  </si>
  <si>
    <t>2023-08-13</t>
  </si>
  <si>
    <t>2023-11-19</t>
  </si>
  <si>
    <t>2023-12-20</t>
  </si>
  <si>
    <t>2023-12-10</t>
  </si>
  <si>
    <t>2023-01-05</t>
  </si>
  <si>
    <t>2023-09-25</t>
  </si>
  <si>
    <t>2023-03-06</t>
  </si>
  <si>
    <t>2023-07-22</t>
  </si>
  <si>
    <t>2023-05-23</t>
  </si>
  <si>
    <t>2023-08-30</t>
  </si>
  <si>
    <t>2023-01-09</t>
  </si>
  <si>
    <t>2023-12-06</t>
  </si>
  <si>
    <t>2023-11-26</t>
  </si>
  <si>
    <t>2023-03-21</t>
  </si>
  <si>
    <t>2023-06-15</t>
  </si>
  <si>
    <t>2023-07-06</t>
  </si>
  <si>
    <t>2023-03-07</t>
  </si>
  <si>
    <t>2023-08-14</t>
  </si>
  <si>
    <t>2023-11-23</t>
  </si>
  <si>
    <t>2023-08-25</t>
  </si>
  <si>
    <t>2023-04-27</t>
  </si>
  <si>
    <t>2023-07-26</t>
  </si>
  <si>
    <t>2023-04-11</t>
  </si>
  <si>
    <t>2024-01-01</t>
  </si>
  <si>
    <t>2023-05-15</t>
  </si>
  <si>
    <t>2023-10-28</t>
  </si>
  <si>
    <t>2023-05-06</t>
  </si>
  <si>
    <t>2023-04-24</t>
  </si>
  <si>
    <t>2023-12-12</t>
  </si>
  <si>
    <t>2023-01-23</t>
  </si>
  <si>
    <t>2023-01-24</t>
  </si>
  <si>
    <t>2023-12-04</t>
  </si>
  <si>
    <t>2023-02-22</t>
  </si>
  <si>
    <t>2023-08-22</t>
  </si>
  <si>
    <t>2023-10-02</t>
  </si>
  <si>
    <t>2023-12-30</t>
  </si>
  <si>
    <t>2023-06-01</t>
  </si>
  <si>
    <t>2023-01-03</t>
  </si>
  <si>
    <t>2023-06-19</t>
  </si>
  <si>
    <t>2023-10-05</t>
  </si>
  <si>
    <t>2023-05-30</t>
  </si>
  <si>
    <t>2023-10-01</t>
  </si>
  <si>
    <t>2023-10-09</t>
  </si>
  <si>
    <t>2023-09-28</t>
  </si>
  <si>
    <t>2023-04-15</t>
  </si>
  <si>
    <t>2023-11-24</t>
  </si>
  <si>
    <t>2023-10-30</t>
  </si>
  <si>
    <t>2023-07-28</t>
  </si>
  <si>
    <t>2023-05-29</t>
  </si>
  <si>
    <t>2023-09-26</t>
  </si>
  <si>
    <t>2023-04-13</t>
  </si>
  <si>
    <t>2023-02-15</t>
  </si>
  <si>
    <t>2023-08-11</t>
  </si>
  <si>
    <t>2023-02-05</t>
  </si>
  <si>
    <t>2023-07-16</t>
  </si>
  <si>
    <t>2023-07-01</t>
  </si>
  <si>
    <t>2023-11-11</t>
  </si>
  <si>
    <t>2023-02-02</t>
  </si>
  <si>
    <t>2023-01-12</t>
  </si>
  <si>
    <t>2023-12-17</t>
  </si>
  <si>
    <t>2023-05-27</t>
  </si>
  <si>
    <t>2023-06-25</t>
  </si>
  <si>
    <t>2023-05-10</t>
  </si>
  <si>
    <t>2023-06-09</t>
  </si>
  <si>
    <t>2023-01-15</t>
  </si>
  <si>
    <t>2023-12-15</t>
  </si>
  <si>
    <t>2023-12-13</t>
  </si>
  <si>
    <t>2023-12-23</t>
  </si>
  <si>
    <t>2023-01-08</t>
  </si>
  <si>
    <t>2023-12-14</t>
  </si>
  <si>
    <t>2023-12-28</t>
  </si>
  <si>
    <t>2023-09-04</t>
  </si>
  <si>
    <t>2023-08-17</t>
  </si>
  <si>
    <t>2023-02-18</t>
  </si>
  <si>
    <t>2023-11-05</t>
  </si>
  <si>
    <t>2023-03-25</t>
  </si>
  <si>
    <t>2023-07-25</t>
  </si>
  <si>
    <t>2023-11-16</t>
  </si>
  <si>
    <t>2023-12-21</t>
  </si>
  <si>
    <t>2023-06-17</t>
  </si>
  <si>
    <t>2023-06-29</t>
  </si>
  <si>
    <t>2023-07-17</t>
  </si>
  <si>
    <t>2023-03-05</t>
  </si>
  <si>
    <t>2023-09-22</t>
  </si>
  <si>
    <t>2023-10-17</t>
  </si>
  <si>
    <t>2023-08-09</t>
  </si>
  <si>
    <t>2023-08-29</t>
  </si>
  <si>
    <t>2023-08-04</t>
  </si>
  <si>
    <t>2023-09-18</t>
  </si>
  <si>
    <t>2023-06-07</t>
  </si>
  <si>
    <t>2023-06-06</t>
  </si>
  <si>
    <t>2023-10-20</t>
  </si>
  <si>
    <t>2023-04-18</t>
  </si>
  <si>
    <t>2023-08-02</t>
  </si>
  <si>
    <t>2023-08-21</t>
  </si>
  <si>
    <t>2023-01-18</t>
  </si>
  <si>
    <t>2023-07-19</t>
  </si>
  <si>
    <t>2023-06-02</t>
  </si>
  <si>
    <t>2023-04-16</t>
  </si>
  <si>
    <t>2023-11-03</t>
  </si>
  <si>
    <t>2023-03-10</t>
  </si>
  <si>
    <t>2023-03-02</t>
  </si>
  <si>
    <t>2023-03-19</t>
  </si>
  <si>
    <t>2023-05-16</t>
  </si>
  <si>
    <t>2023-11-15</t>
  </si>
  <si>
    <t>2023-10-24</t>
  </si>
  <si>
    <t>2023-08-20</t>
  </si>
  <si>
    <t>2023-09-24</t>
  </si>
  <si>
    <t>2023-09-11</t>
  </si>
  <si>
    <t>2023-10-18</t>
  </si>
  <si>
    <t>2023-08-16</t>
  </si>
  <si>
    <t>2023-07-20</t>
  </si>
  <si>
    <t>2023-08-05</t>
  </si>
  <si>
    <t>Profit Margin</t>
  </si>
  <si>
    <t>Sum of Profit</t>
  </si>
  <si>
    <t>Grand Total</t>
  </si>
  <si>
    <t>Sum of Total_Sales</t>
  </si>
  <si>
    <t>SALES BY CITIES</t>
  </si>
  <si>
    <t>PROFIT BY CATEGORY</t>
  </si>
  <si>
    <t>Order Month</t>
  </si>
  <si>
    <t>Jan</t>
  </si>
  <si>
    <t>Feb</t>
  </si>
  <si>
    <t>Mar</t>
  </si>
  <si>
    <t>Apr</t>
  </si>
  <si>
    <t>May</t>
  </si>
  <si>
    <t>Jun</t>
  </si>
  <si>
    <t>Jul</t>
  </si>
  <si>
    <t>Aug</t>
  </si>
  <si>
    <t>Sep</t>
  </si>
  <si>
    <t>Oct</t>
  </si>
  <si>
    <t>Nov</t>
  </si>
  <si>
    <t>Dec</t>
  </si>
  <si>
    <t>Monthly Sales</t>
  </si>
  <si>
    <t>TOTAL SALES</t>
  </si>
  <si>
    <t>AVERAGE SALES</t>
  </si>
  <si>
    <t xml:space="preserve">    TOTAL ORDERS</t>
  </si>
  <si>
    <t>***FINAL DASHBOARD***</t>
  </si>
  <si>
    <t>Profit/Loss</t>
  </si>
  <si>
    <t>Year</t>
  </si>
  <si>
    <t>2023</t>
  </si>
  <si>
    <t>2024</t>
  </si>
  <si>
    <t>(All)</t>
  </si>
  <si>
    <t>Cities</t>
  </si>
  <si>
    <t>Month</t>
  </si>
  <si>
    <t>Details for Sum of Profit</t>
  </si>
  <si>
    <t>TOTAL PROFIT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</si>
</sst>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&quot;₹&quot;\ #,##0.00"/>
    <numFmt numFmtId="165" formatCode="&quot;₹&quot;\ #,##0"/>
  </numFmts>
  <fonts count="8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i/>
      <sz val="16"/>
      <color theme="3"/>
      <name val="Calibri"/>
      <family val="2"/>
      <scheme val="minor"/>
    </font>
    <font>
      <sz val="18"/>
      <color theme="1"/>
      <name val="Calibri"/>
      <family val="2"/>
      <scheme val="minor"/>
    </font>
    <font>
      <b/>
      <i/>
      <sz val="18"/>
      <color theme="3"/>
      <name val="Calibri"/>
      <family val="2"/>
      <scheme val="minor"/>
    </font>
    <font>
      <b/>
      <i/>
      <sz val="20"/>
      <color theme="4"/>
      <name val="Agency FB"/>
      <family val="2"/>
    </font>
    <font>
      <b/>
      <sz val="18"/>
      <color theme="3"/>
      <name val="Agency FB"/>
      <family val="2"/>
    </font>
    <font>
      <b/>
      <sz val="16"/>
      <color theme="3"/>
      <name val="Aptos"/>
      <family val="2"/>
    </font>
  </fonts>
  <fills count="2">
    <fill>
      <patternFill patternType="none"/>
    </fill>
    <fill>
      <patternFill patternType="gray125"/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26">
    <xf numFmtId="0" fontId="0" fillId="0" borderId="0" xfId="0"/>
    <xf numFmtId="0" fontId="1" fillId="0" borderId="1" xfId="0" applyFont="1" applyBorder="1" applyAlignment="1">
      <alignment horizontal="center" vertical="top"/>
    </xf>
    <xf numFmtId="10" fontId="0" fillId="0" borderId="0" xfId="0" applyNumberFormat="1"/>
    <xf numFmtId="10" fontId="1" fillId="0" borderId="1" xfId="0" applyNumberFormat="1" applyFont="1" applyBorder="1" applyAlignment="1">
      <alignment horizontal="center" vertical="top"/>
    </xf>
    <xf numFmtId="0" fontId="0" fillId="0" borderId="0" xfId="0" pivotButton="1"/>
    <xf numFmtId="0" fontId="0" fillId="0" borderId="0" xfId="0" applyAlignment="1">
      <alignment horizontal="left"/>
    </xf>
    <xf numFmtId="0" fontId="4" fillId="0" borderId="0" xfId="0" applyFont="1"/>
    <xf numFmtId="0" fontId="0" fillId="0" borderId="0" xfId="0" applyAlignment="1">
      <alignment horizontal="center"/>
    </xf>
    <xf numFmtId="0" fontId="0" fillId="0" borderId="2" xfId="0" applyBorder="1"/>
    <xf numFmtId="0" fontId="0" fillId="0" borderId="3" xfId="0" applyBorder="1"/>
    <xf numFmtId="0" fontId="0" fillId="0" borderId="4" xfId="0" applyBorder="1"/>
    <xf numFmtId="0" fontId="0" fillId="0" borderId="5" xfId="0" applyBorder="1"/>
    <xf numFmtId="0" fontId="0" fillId="0" borderId="6" xfId="0" applyBorder="1"/>
    <xf numFmtId="164" fontId="0" fillId="0" borderId="0" xfId="0" applyNumberFormat="1"/>
    <xf numFmtId="0" fontId="1" fillId="0" borderId="0" xfId="0" applyFont="1"/>
    <xf numFmtId="165" fontId="0" fillId="0" borderId="0" xfId="0" applyNumberFormat="1"/>
    <xf numFmtId="0" fontId="7" fillId="0" borderId="0" xfId="0" applyFont="1"/>
    <xf numFmtId="0" fontId="5" fillId="0" borderId="7" xfId="0" applyFont="1" applyBorder="1" applyAlignment="1">
      <alignment horizontal="center"/>
    </xf>
    <xf numFmtId="0" fontId="0" fillId="0" borderId="8" xfId="0" applyBorder="1" applyAlignment="1">
      <alignment horizontal="center"/>
    </xf>
    <xf numFmtId="0" fontId="0" fillId="0" borderId="9" xfId="0" applyBorder="1" applyAlignment="1">
      <alignment horizontal="center"/>
    </xf>
    <xf numFmtId="0" fontId="7" fillId="0" borderId="0" xfId="0" applyFont="1" applyAlignment="1">
      <alignment horizontal="center"/>
    </xf>
    <xf numFmtId="0" fontId="0" fillId="0" borderId="0" xfId="0" applyAlignment="1">
      <alignment horizontal="center"/>
    </xf>
    <xf numFmtId="0" fontId="6" fillId="0" borderId="0" xfId="0" applyFont="1" applyAlignment="1">
      <alignment horizontal="center"/>
    </xf>
    <xf numFmtId="0" fontId="2" fillId="0" borderId="0" xfId="0" applyFont="1" applyAlignment="1">
      <alignment horizontal="center"/>
    </xf>
    <xf numFmtId="0" fontId="4" fillId="0" borderId="0" xfId="0" applyFont="1" applyAlignment="1">
      <alignment horizontal="center"/>
    </xf>
    <xf numFmtId="0" fontId="3" fillId="0" borderId="0" xfId="0" applyFont="1" applyAlignment="1">
      <alignment horizontal="center"/>
    </xf>
  </cellXfs>
  <cellStyles count="1">
    <cellStyle name="Normal" xfId="0" builtinId="0"/>
  </cellStyles>
  <dxfs count="11">
    <dxf>
      <font>
        <color rgb="FF006100"/>
      </font>
      <fill>
        <patternFill>
          <bgColor rgb="FFC6EFCE"/>
        </patternFill>
      </fill>
    </dxf>
    <dxf>
      <numFmt numFmtId="0" formatCode="General"/>
    </dxf>
    <dxf>
      <numFmt numFmtId="14" formatCode="0.00%"/>
    </dxf>
    <dxf>
      <numFmt numFmtId="0" formatCode="General"/>
    </dxf>
    <dxf>
      <numFmt numFmtId="0" formatCode="General"/>
    </dxf>
    <dxf>
      <border outline="0">
        <top style="thin">
          <color auto="1"/>
        </top>
      </border>
    </dxf>
    <dxf>
      <border outline="0">
        <bottom style="thin">
          <color auto="1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alignment horizontal="center" vertical="top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/>
        <bottom/>
      </border>
    </dxf>
    <dxf>
      <numFmt numFmtId="165" formatCode="&quot;₹&quot;\ #,##0"/>
    </dxf>
    <dxf>
      <numFmt numFmtId="164" formatCode="&quot;₹&quot;\ #,##0.00"/>
    </dxf>
    <dxf>
      <numFmt numFmtId="165" formatCode="&quot;₹&quot;\ #,##0"/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pivotCacheDefinition" Target="pivotCache/pivotCacheDefinition1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7"/>
    </mc:Choice>
    <mc:Fallback>
      <c:style val="7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500" b="1" i="0" u="none" strike="noStrike" kern="1200" cap="all" spc="100" normalizeH="0" baseline="0">
                <a:solidFill>
                  <a:schemeClr val="lt1"/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TOP FIVE CITIES</a:t>
            </a:r>
          </a:p>
        </c:rich>
      </c:tx>
      <c:layout>
        <c:manualLayout>
          <c:xMode val="edge"/>
          <c:yMode val="edge"/>
          <c:x val="0.35289666259061597"/>
          <c:y val="4.0645960921551476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500" b="1" i="0" u="none" strike="noStrike" kern="1200" cap="all" spc="100" normalizeH="0" baseline="0">
              <a:solidFill>
                <a:schemeClr val="lt1"/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pattFill prst="ltUpDiag">
            <a:fgClr>
              <a:schemeClr val="accent5"/>
            </a:fgClr>
            <a:bgClr>
              <a:schemeClr val="lt1"/>
            </a:bgClr>
          </a:pattFill>
          <a:ln>
            <a:noFill/>
          </a:ln>
          <a:effectLst/>
        </c:spPr>
        <c:marker>
          <c:spPr>
            <a:solidFill>
              <a:schemeClr val="accent5"/>
            </a:solidFill>
            <a:ln w="22225">
              <a:solidFill>
                <a:schemeClr val="lt1"/>
              </a:solidFill>
              <a:round/>
            </a:ln>
            <a:effectLst/>
          </c:spPr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v>Total</c:v>
          </c:tx>
          <c:spPr>
            <a:pattFill prst="ltUpDiag">
              <a:fgClr>
                <a:schemeClr val="accent5"/>
              </a:fgClr>
              <a:bgClr>
                <a:schemeClr val="lt1"/>
              </a:bgClr>
            </a:pattFill>
            <a:ln>
              <a:noFill/>
            </a:ln>
            <a:effectLst/>
          </c:spPr>
          <c:invertIfNegative val="0"/>
          <c:cat>
            <c:strLit>
              <c:ptCount val="5"/>
              <c:pt idx="0">
                <c:v>Bangalore</c:v>
              </c:pt>
              <c:pt idx="1">
                <c:v>Delhi</c:v>
              </c:pt>
              <c:pt idx="2">
                <c:v>Hyderabad</c:v>
              </c:pt>
              <c:pt idx="3">
                <c:v>Mumbai</c:v>
              </c:pt>
              <c:pt idx="4">
                <c:v>Pune</c:v>
              </c:pt>
            </c:strLit>
          </c:cat>
          <c:val>
            <c:numLit>
              <c:formatCode>General</c:formatCode>
              <c:ptCount val="5"/>
              <c:pt idx="0">
                <c:v>3150</c:v>
              </c:pt>
              <c:pt idx="1">
                <c:v>3394</c:v>
              </c:pt>
              <c:pt idx="2">
                <c:v>4740</c:v>
              </c:pt>
              <c:pt idx="3">
                <c:v>4585</c:v>
              </c:pt>
              <c:pt idx="4">
                <c:v>4231</c:v>
              </c:pt>
            </c:numLit>
          </c:val>
          <c:extLst>
            <c:ext xmlns:c16="http://schemas.microsoft.com/office/drawing/2014/chart" uri="{C3380CC4-5D6E-409C-BE32-E72D297353CC}">
              <c16:uniqueId val="{00000000-FEA1-4245-A5BA-CDFF06B8691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69"/>
        <c:overlap val="-20"/>
        <c:axId val="1114291007"/>
        <c:axId val="1114275167"/>
      </c:barChart>
      <c:catAx>
        <c:axId val="1114291007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lt1">
                  <a:alpha val="2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3175" cap="flat" cmpd="sng" algn="ctr">
            <a:solidFill>
              <a:schemeClr val="accent5">
                <a:lumMod val="60000"/>
                <a:lumOff val="40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800" b="0" i="0" u="none" strike="noStrike" kern="1200" cap="all" spc="150" normalizeH="0" baseline="0">
                <a:solidFill>
                  <a:schemeClr val="lt1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114275167"/>
        <c:crosses val="autoZero"/>
        <c:auto val="1"/>
        <c:lblAlgn val="ctr"/>
        <c:lblOffset val="100"/>
        <c:noMultiLvlLbl val="0"/>
      </c:catAx>
      <c:valAx>
        <c:axId val="1114275167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114291007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accent5"/>
    </a:solidFill>
    <a:ln w="9525" cap="flat" cmpd="sng" algn="ctr">
      <a:solidFill>
        <a:schemeClr val="accent5"/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/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7"/>
    </mc:Choice>
    <mc:Fallback>
      <c:style val="7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500" b="1" i="0" u="none" strike="noStrike" kern="1200" cap="all" spc="100" normalizeH="0" baseline="0">
                <a:solidFill>
                  <a:schemeClr val="lt1"/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 monthly sales trends</a:t>
            </a:r>
          </a:p>
        </c:rich>
      </c:tx>
      <c:layout>
        <c:manualLayout>
          <c:xMode val="edge"/>
          <c:yMode val="edge"/>
          <c:x val="0.3270233056720942"/>
          <c:y val="2.9741984769293531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500" b="1" i="0" u="none" strike="noStrike" kern="1200" cap="all" spc="100" normalizeH="0" baseline="0">
              <a:solidFill>
                <a:schemeClr val="lt1"/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pattFill prst="ltUpDiag">
            <a:fgClr>
              <a:schemeClr val="accent5"/>
            </a:fgClr>
            <a:bgClr>
              <a:schemeClr val="lt1"/>
            </a:bgClr>
          </a:pattFill>
          <a:ln w="34925" cap="rnd">
            <a:solidFill>
              <a:schemeClr val="lt1"/>
            </a:solidFill>
            <a:round/>
          </a:ln>
          <a:effectLst>
            <a:outerShdw dist="25400" dir="2700000" algn="tl" rotWithShape="0">
              <a:schemeClr val="accent5"/>
            </a:outerShdw>
          </a:effectLst>
        </c:spPr>
        <c:marker>
          <c:symbol val="circle"/>
          <c:size val="5"/>
          <c:spPr>
            <a:solidFill>
              <a:schemeClr val="accent5"/>
            </a:solidFill>
            <a:ln w="22225">
              <a:solidFill>
                <a:schemeClr val="lt1"/>
              </a:solidFill>
              <a:round/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1" i="0" u="none" strike="noStrike" kern="1200" baseline="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pattFill prst="ltUpDiag">
            <a:fgClr>
              <a:schemeClr val="accent5"/>
            </a:fgClr>
            <a:bgClr>
              <a:schemeClr val="lt1"/>
            </a:bgClr>
          </a:pattFill>
          <a:ln w="34925" cap="rnd">
            <a:solidFill>
              <a:schemeClr val="lt1"/>
            </a:solidFill>
            <a:round/>
          </a:ln>
          <a:effectLst>
            <a:outerShdw dist="25400" dir="2700000" algn="tl" rotWithShape="0">
              <a:schemeClr val="accent5"/>
            </a:outerShdw>
          </a:effectLst>
        </c:spPr>
        <c:marker>
          <c:symbol val="circle"/>
          <c:size val="5"/>
          <c:spPr>
            <a:solidFill>
              <a:schemeClr val="accent5"/>
            </a:solidFill>
            <a:ln w="22225">
              <a:solidFill>
                <a:schemeClr val="lt1"/>
              </a:solidFill>
              <a:round/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1" i="0" u="none" strike="noStrike" kern="1200" baseline="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pattFill prst="ltUpDiag">
            <a:fgClr>
              <a:schemeClr val="accent5"/>
            </a:fgClr>
            <a:bgClr>
              <a:schemeClr val="lt1"/>
            </a:bgClr>
          </a:pattFill>
          <a:ln w="34925" cap="rnd">
            <a:solidFill>
              <a:schemeClr val="lt1"/>
            </a:solidFill>
            <a:round/>
          </a:ln>
          <a:effectLst>
            <a:outerShdw dist="25400" dir="2700000" algn="tl" rotWithShape="0">
              <a:schemeClr val="accent5"/>
            </a:outerShdw>
          </a:effectLst>
        </c:spPr>
        <c:marker>
          <c:symbol val="circle"/>
          <c:size val="5"/>
          <c:spPr>
            <a:solidFill>
              <a:schemeClr val="accent5"/>
            </a:solidFill>
            <a:ln w="22225">
              <a:solidFill>
                <a:schemeClr val="lt1"/>
              </a:solidFill>
              <a:round/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1" i="0" u="none" strike="noStrike" kern="1200" baseline="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lineChart>
        <c:grouping val="stacked"/>
        <c:varyColors val="0"/>
        <c:ser>
          <c:idx val="0"/>
          <c:order val="0"/>
          <c:tx>
            <c:v>Total</c:v>
          </c:tx>
          <c:spPr>
            <a:ln w="34925" cap="rnd">
              <a:solidFill>
                <a:schemeClr val="lt1"/>
              </a:solidFill>
              <a:round/>
            </a:ln>
            <a:effectLst>
              <a:outerShdw dist="25400" dir="2700000" algn="tl" rotWithShape="0">
                <a:schemeClr val="accent5"/>
              </a:outerShdw>
            </a:effectLst>
          </c:spPr>
          <c:marker>
            <c:symbol val="circle"/>
            <c:size val="5"/>
            <c:spPr>
              <a:solidFill>
                <a:schemeClr val="accent5"/>
              </a:solidFill>
              <a:ln w="22225">
                <a:solidFill>
                  <a:schemeClr val="lt1"/>
                </a:solidFill>
                <a:round/>
              </a:ln>
              <a:effectLst/>
            </c:spPr>
          </c:marker>
          <c:cat>
            <c:strLit>
              <c:ptCount val="12"/>
              <c:pt idx="0">
                <c:v>Jan</c:v>
              </c:pt>
              <c:pt idx="1">
                <c:v>Feb</c:v>
              </c:pt>
              <c:pt idx="2">
                <c:v>Mar</c:v>
              </c:pt>
              <c:pt idx="3">
                <c:v>Apr</c:v>
              </c:pt>
              <c:pt idx="4">
                <c:v>May</c:v>
              </c:pt>
              <c:pt idx="5">
                <c:v>Jun</c:v>
              </c:pt>
              <c:pt idx="6">
                <c:v>Jul</c:v>
              </c:pt>
              <c:pt idx="7">
                <c:v>Aug</c:v>
              </c:pt>
              <c:pt idx="8">
                <c:v>Sep</c:v>
              </c:pt>
              <c:pt idx="9">
                <c:v>Oct</c:v>
              </c:pt>
              <c:pt idx="10">
                <c:v>Nov</c:v>
              </c:pt>
              <c:pt idx="11">
                <c:v>Dec</c:v>
              </c:pt>
            </c:strLit>
          </c:cat>
          <c:val>
            <c:numLit>
              <c:formatCode>General</c:formatCode>
              <c:ptCount val="12"/>
              <c:pt idx="0">
                <c:v>108109</c:v>
              </c:pt>
              <c:pt idx="1">
                <c:v>58337</c:v>
              </c:pt>
              <c:pt idx="2">
                <c:v>41423</c:v>
              </c:pt>
              <c:pt idx="3">
                <c:v>52657</c:v>
              </c:pt>
              <c:pt idx="4">
                <c:v>125577</c:v>
              </c:pt>
              <c:pt idx="5">
                <c:v>89804</c:v>
              </c:pt>
              <c:pt idx="6">
                <c:v>122413</c:v>
              </c:pt>
              <c:pt idx="7">
                <c:v>131284</c:v>
              </c:pt>
              <c:pt idx="8">
                <c:v>81607</c:v>
              </c:pt>
              <c:pt idx="9">
                <c:v>123396</c:v>
              </c:pt>
              <c:pt idx="10">
                <c:v>89752</c:v>
              </c:pt>
              <c:pt idx="11">
                <c:v>146860</c:v>
              </c:pt>
            </c:numLit>
          </c:val>
          <c:smooth val="0"/>
          <c:extLst>
            <c:ext xmlns:c16="http://schemas.microsoft.com/office/drawing/2014/chart" uri="{C3380CC4-5D6E-409C-BE32-E72D297353CC}">
              <c16:uniqueId val="{00000000-2E62-4EA6-BEFD-FC8AE6C6920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dropLines>
          <c:spPr>
            <a:ln w="9525" cap="flat" cmpd="sng" algn="ctr">
              <a:gradFill>
                <a:gsLst>
                  <a:gs pos="0">
                    <a:schemeClr val="lt1"/>
                  </a:gs>
                  <a:gs pos="100000">
                    <a:schemeClr val="lt1">
                      <a:alpha val="0"/>
                    </a:schemeClr>
                  </a:gs>
                </a:gsLst>
                <a:lin ang="5400000" scaled="0"/>
              </a:gradFill>
              <a:round/>
            </a:ln>
            <a:effectLst/>
          </c:spPr>
        </c:dropLines>
        <c:marker val="1"/>
        <c:smooth val="0"/>
        <c:axId val="130984751"/>
        <c:axId val="130995311"/>
      </c:lineChart>
      <c:catAx>
        <c:axId val="130984751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12700" cap="flat" cmpd="sng" algn="ctr">
            <a:solidFill>
              <a:schemeClr val="lt1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spc="100" baseline="0">
                <a:solidFill>
                  <a:schemeClr val="lt1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0995311"/>
        <c:crosses val="autoZero"/>
        <c:auto val="1"/>
        <c:lblAlgn val="ctr"/>
        <c:lblOffset val="100"/>
        <c:noMultiLvlLbl val="0"/>
      </c:catAx>
      <c:valAx>
        <c:axId val="130995311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0984751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accent5"/>
    </a:solidFill>
    <a:ln w="9525" cap="flat" cmpd="sng" algn="ctr">
      <a:solidFill>
        <a:schemeClr val="accent5"/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/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7"/>
    </mc:Choice>
    <mc:Fallback>
      <c:style val="7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500" b="1" i="0" u="none" strike="noStrike" kern="1200" cap="all" spc="100" normalizeH="0" baseline="0">
                <a:solidFill>
                  <a:schemeClr val="lt1"/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 CATEGORY PERFORMANCE</a:t>
            </a:r>
          </a:p>
        </c:rich>
      </c:tx>
      <c:layout>
        <c:manualLayout>
          <c:xMode val="edge"/>
          <c:yMode val="edge"/>
          <c:x val="0.28089736453033209"/>
          <c:y val="2.514435695538057E-3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500" b="1" i="0" u="none" strike="noStrike" kern="1200" cap="all" spc="100" normalizeH="0" baseline="0">
              <a:solidFill>
                <a:schemeClr val="lt1"/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pattFill prst="ltUpDiag">
            <a:fgClr>
              <a:schemeClr val="accent5"/>
            </a:fgClr>
            <a:bgClr>
              <a:schemeClr val="lt1"/>
            </a:bgClr>
          </a:pattFill>
          <a:ln>
            <a:noFill/>
          </a:ln>
          <a:effectLst/>
        </c:spPr>
        <c:marker>
          <c:symbol val="circle"/>
          <c:size val="5"/>
          <c:spPr>
            <a:solidFill>
              <a:schemeClr val="accent5"/>
            </a:solidFill>
            <a:ln w="22225">
              <a:solidFill>
                <a:schemeClr val="lt1"/>
              </a:solidFill>
              <a:round/>
            </a:ln>
            <a:effectLst/>
          </c:spPr>
        </c:marker>
        <c:dLbl>
          <c:idx val="0"/>
          <c:spPr>
            <a:solidFill>
              <a:schemeClr val="accent5">
                <a:alpha val="70000"/>
              </a:schemeClr>
            </a:solidFill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pattFill prst="ltUpDiag">
            <a:fgClr>
              <a:schemeClr val="accent5"/>
            </a:fgClr>
            <a:bgClr>
              <a:schemeClr val="lt1"/>
            </a:bgClr>
          </a:pattFill>
          <a:ln>
            <a:noFill/>
          </a:ln>
          <a:effectLst/>
        </c:spPr>
        <c:marker>
          <c:symbol val="none"/>
        </c:marker>
        <c:dLbl>
          <c:idx val="0"/>
          <c:spPr>
            <a:solidFill>
              <a:schemeClr val="accent5">
                <a:alpha val="70000"/>
              </a:schemeClr>
            </a:solidFill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pattFill prst="ltUpDiag">
            <a:fgClr>
              <a:schemeClr val="accent5"/>
            </a:fgClr>
            <a:bgClr>
              <a:schemeClr val="lt1"/>
            </a:bgClr>
          </a:pattFill>
          <a:ln>
            <a:noFill/>
          </a:ln>
          <a:effectLst/>
        </c:spPr>
        <c:marker>
          <c:symbol val="none"/>
        </c:marker>
        <c:dLbl>
          <c:idx val="0"/>
          <c:spPr>
            <a:solidFill>
              <a:schemeClr val="accent5">
                <a:alpha val="70000"/>
              </a:schemeClr>
            </a:solidFill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v>Total</c:v>
          </c:tx>
          <c:spPr>
            <a:pattFill prst="ltUpDiag">
              <a:fgClr>
                <a:schemeClr val="accent5"/>
              </a:fgClr>
              <a:bgClr>
                <a:schemeClr val="lt1"/>
              </a:bgClr>
            </a:pattFill>
            <a:ln>
              <a:noFill/>
            </a:ln>
            <a:effectLst/>
          </c:spPr>
          <c:invertIfNegative val="0"/>
          <c:cat>
            <c:strLit>
              <c:ptCount val="4"/>
              <c:pt idx="0">
                <c:v>Clothing</c:v>
              </c:pt>
              <c:pt idx="1">
                <c:v>Electronics</c:v>
              </c:pt>
              <c:pt idx="2">
                <c:v>Furniture</c:v>
              </c:pt>
              <c:pt idx="3">
                <c:v>Groceries</c:v>
              </c:pt>
            </c:strLit>
          </c:cat>
          <c:val>
            <c:numLit>
              <c:formatCode>General</c:formatCode>
              <c:ptCount val="4"/>
              <c:pt idx="0">
                <c:v>333028</c:v>
              </c:pt>
              <c:pt idx="1">
                <c:v>308100</c:v>
              </c:pt>
              <c:pt idx="2">
                <c:v>258221</c:v>
              </c:pt>
              <c:pt idx="3">
                <c:v>271870</c:v>
              </c:pt>
            </c:numLit>
          </c:val>
          <c:extLst>
            <c:ext xmlns:c16="http://schemas.microsoft.com/office/drawing/2014/chart" uri="{C3380CC4-5D6E-409C-BE32-E72D297353CC}">
              <c16:uniqueId val="{00000000-7929-40F9-920A-C1D51FA36C1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69"/>
        <c:overlap val="-20"/>
        <c:axId val="130984751"/>
        <c:axId val="130975631"/>
      </c:barChart>
      <c:catAx>
        <c:axId val="130984751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lt1">
                  <a:alpha val="2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3175" cap="flat" cmpd="sng" algn="ctr">
            <a:solidFill>
              <a:schemeClr val="accent5">
                <a:lumMod val="60000"/>
                <a:lumOff val="40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800" b="0" i="0" u="none" strike="noStrike" kern="1200" cap="all" spc="150" normalizeH="0" baseline="0">
                <a:solidFill>
                  <a:schemeClr val="lt1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0975631"/>
        <c:crosses val="autoZero"/>
        <c:auto val="1"/>
        <c:lblAlgn val="ctr"/>
        <c:lblOffset val="100"/>
        <c:noMultiLvlLbl val="0"/>
      </c:catAx>
      <c:valAx>
        <c:axId val="130975631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0984751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accent5"/>
    </a:solidFill>
    <a:ln w="9525" cap="flat" cmpd="sng" algn="ctr">
      <a:solidFill>
        <a:schemeClr val="accent5"/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/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7"/>
    </mc:Choice>
    <mc:Fallback>
      <c:style val="7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800" b="1" i="0" u="none" strike="noStrike" kern="1200" baseline="0">
                <a:solidFill>
                  <a:schemeClr val="dk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 </a:t>
            </a:r>
            <a:r>
              <a:rPr lang="en-IN" sz="1800" b="1" i="0" u="none" strike="noStrike" baseline="0"/>
              <a:t>CITY CONTRIBUTION</a:t>
            </a:r>
            <a:endParaRPr lang="en-US"/>
          </a:p>
        </c:rich>
      </c:tx>
      <c:layout>
        <c:manualLayout>
          <c:xMode val="edge"/>
          <c:yMode val="edge"/>
          <c:x val="0.41009047031164625"/>
          <c:y val="4.0724015460051492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800" b="1" i="0" u="none" strike="noStrike" kern="1200" baseline="0">
              <a:solidFill>
                <a:schemeClr val="dk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5"/>
          </a:solidFill>
          <a:ln>
            <a:noFill/>
          </a:ln>
          <a:effectLst/>
          <a:scene3d>
            <a:camera prst="orthographicFront"/>
            <a:lightRig rig="brightRoom" dir="t"/>
          </a:scene3d>
          <a:sp3d prstMaterial="flat">
            <a:bevelT w="50800" h="101600" prst="angle"/>
            <a:contourClr>
              <a:srgbClr val="000000"/>
            </a:contourClr>
          </a:sp3d>
        </c:spPr>
        <c:marker>
          <c:symbol val="circle"/>
          <c:size val="6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1" i="0" u="none" strike="noStrike" kern="1200" baseline="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inEnd"/>
          <c:showLegendKey val="0"/>
          <c:showVal val="0"/>
          <c:showCatName val="0"/>
          <c:showSerName val="0"/>
          <c:showPercent val="1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5"/>
          </a:solidFill>
          <a:ln>
            <a:noFill/>
          </a:ln>
          <a:effectLst/>
          <a:scene3d>
            <a:camera prst="orthographicFront"/>
            <a:lightRig rig="brightRoom" dir="t"/>
          </a:scene3d>
          <a:sp3d prstMaterial="flat">
            <a:bevelT w="50800" h="101600" prst="angle"/>
            <a:contourClr>
              <a:srgbClr val="000000"/>
            </a:contourClr>
          </a:sp3d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1" i="0" u="none" strike="noStrike" kern="1200" baseline="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inEnd"/>
          <c:showLegendKey val="0"/>
          <c:showVal val="0"/>
          <c:showCatName val="0"/>
          <c:showSerName val="0"/>
          <c:showPercent val="1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solidFill>
            <a:schemeClr val="accent5"/>
          </a:solidFill>
          <a:ln>
            <a:noFill/>
          </a:ln>
          <a:effectLst/>
          <a:scene3d>
            <a:camera prst="orthographicFront"/>
            <a:lightRig rig="brightRoom" dir="t"/>
          </a:scene3d>
          <a:sp3d prstMaterial="flat">
            <a:bevelT w="50800" h="101600" prst="angle"/>
            <a:contourClr>
              <a:srgbClr val="000000"/>
            </a:contourClr>
          </a:sp3d>
        </c:spPr>
      </c:pivotFmt>
      <c:pivotFmt>
        <c:idx val="4"/>
        <c:spPr>
          <a:solidFill>
            <a:schemeClr val="accent5"/>
          </a:solidFill>
          <a:ln>
            <a:noFill/>
          </a:ln>
          <a:effectLst/>
          <a:scene3d>
            <a:camera prst="orthographicFront"/>
            <a:lightRig rig="brightRoom" dir="t"/>
          </a:scene3d>
          <a:sp3d prstMaterial="flat">
            <a:bevelT w="50800" h="101600" prst="angle"/>
            <a:contourClr>
              <a:srgbClr val="000000"/>
            </a:contourClr>
          </a:sp3d>
        </c:spPr>
      </c:pivotFmt>
      <c:pivotFmt>
        <c:idx val="5"/>
        <c:spPr>
          <a:solidFill>
            <a:schemeClr val="accent5"/>
          </a:solidFill>
          <a:ln>
            <a:noFill/>
          </a:ln>
          <a:effectLst/>
          <a:scene3d>
            <a:camera prst="orthographicFront"/>
            <a:lightRig rig="brightRoom" dir="t"/>
          </a:scene3d>
          <a:sp3d prstMaterial="flat">
            <a:bevelT w="50800" h="101600" prst="angle"/>
            <a:contourClr>
              <a:srgbClr val="000000"/>
            </a:contourClr>
          </a:sp3d>
        </c:spPr>
      </c:pivotFmt>
      <c:pivotFmt>
        <c:idx val="6"/>
        <c:spPr>
          <a:solidFill>
            <a:schemeClr val="accent5"/>
          </a:solidFill>
          <a:ln>
            <a:noFill/>
          </a:ln>
          <a:effectLst/>
          <a:scene3d>
            <a:camera prst="orthographicFront"/>
            <a:lightRig rig="brightRoom" dir="t"/>
          </a:scene3d>
          <a:sp3d prstMaterial="flat">
            <a:bevelT w="50800" h="101600" prst="angle"/>
            <a:contourClr>
              <a:srgbClr val="000000"/>
            </a:contourClr>
          </a:sp3d>
        </c:spPr>
      </c:pivotFmt>
      <c:pivotFmt>
        <c:idx val="7"/>
        <c:spPr>
          <a:solidFill>
            <a:schemeClr val="accent5"/>
          </a:solidFill>
          <a:ln>
            <a:noFill/>
          </a:ln>
          <a:effectLst/>
          <a:scene3d>
            <a:camera prst="orthographicFront"/>
            <a:lightRig rig="brightRoom" dir="t"/>
          </a:scene3d>
          <a:sp3d prstMaterial="flat">
            <a:bevelT w="50800" h="101600" prst="angle"/>
            <a:contourClr>
              <a:srgbClr val="000000"/>
            </a:contourClr>
          </a:sp3d>
        </c:spPr>
      </c:pivotFmt>
      <c:pivotFmt>
        <c:idx val="8"/>
        <c:spPr>
          <a:solidFill>
            <a:schemeClr val="accent5"/>
          </a:solidFill>
          <a:ln>
            <a:noFill/>
          </a:ln>
          <a:effectLst/>
          <a:scene3d>
            <a:camera prst="orthographicFront"/>
            <a:lightRig rig="brightRoom" dir="t"/>
          </a:scene3d>
          <a:sp3d prstMaterial="flat">
            <a:bevelT w="50800" h="101600" prst="angle"/>
            <a:contourClr>
              <a:srgbClr val="000000"/>
            </a:contourClr>
          </a:sp3d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1" i="0" u="none" strike="noStrike" kern="1200" baseline="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inEnd"/>
          <c:showLegendKey val="0"/>
          <c:showVal val="0"/>
          <c:showCatName val="0"/>
          <c:showSerName val="0"/>
          <c:showPercent val="1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9"/>
        <c:spPr>
          <a:solidFill>
            <a:schemeClr val="accent5"/>
          </a:solidFill>
          <a:ln>
            <a:noFill/>
          </a:ln>
          <a:effectLst/>
          <a:scene3d>
            <a:camera prst="orthographicFront"/>
            <a:lightRig rig="brightRoom" dir="t"/>
          </a:scene3d>
          <a:sp3d prstMaterial="flat">
            <a:bevelT w="50800" h="101600" prst="angle"/>
            <a:contourClr>
              <a:srgbClr val="000000"/>
            </a:contourClr>
          </a:sp3d>
        </c:spPr>
      </c:pivotFmt>
      <c:pivotFmt>
        <c:idx val="10"/>
        <c:spPr>
          <a:solidFill>
            <a:schemeClr val="accent5"/>
          </a:solidFill>
          <a:ln>
            <a:noFill/>
          </a:ln>
          <a:effectLst/>
          <a:scene3d>
            <a:camera prst="orthographicFront"/>
            <a:lightRig rig="brightRoom" dir="t"/>
          </a:scene3d>
          <a:sp3d prstMaterial="flat">
            <a:bevelT w="50800" h="101600" prst="angle"/>
            <a:contourClr>
              <a:srgbClr val="000000"/>
            </a:contourClr>
          </a:sp3d>
        </c:spPr>
      </c:pivotFmt>
      <c:pivotFmt>
        <c:idx val="11"/>
        <c:spPr>
          <a:solidFill>
            <a:schemeClr val="accent5"/>
          </a:solidFill>
          <a:ln>
            <a:noFill/>
          </a:ln>
          <a:effectLst/>
          <a:scene3d>
            <a:camera prst="orthographicFront"/>
            <a:lightRig rig="brightRoom" dir="t"/>
          </a:scene3d>
          <a:sp3d prstMaterial="flat">
            <a:bevelT w="50800" h="101600" prst="angle"/>
            <a:contourClr>
              <a:srgbClr val="000000"/>
            </a:contourClr>
          </a:sp3d>
        </c:spPr>
      </c:pivotFmt>
      <c:pivotFmt>
        <c:idx val="12"/>
        <c:spPr>
          <a:solidFill>
            <a:schemeClr val="accent5"/>
          </a:solidFill>
          <a:ln>
            <a:noFill/>
          </a:ln>
          <a:effectLst/>
          <a:scene3d>
            <a:camera prst="orthographicFront"/>
            <a:lightRig rig="brightRoom" dir="t"/>
          </a:scene3d>
          <a:sp3d prstMaterial="flat">
            <a:bevelT w="50800" h="101600" prst="angle"/>
            <a:contourClr>
              <a:srgbClr val="000000"/>
            </a:contourClr>
          </a:sp3d>
        </c:spPr>
      </c:pivotFmt>
      <c:pivotFmt>
        <c:idx val="13"/>
        <c:spPr>
          <a:solidFill>
            <a:schemeClr val="accent5"/>
          </a:solidFill>
          <a:ln>
            <a:noFill/>
          </a:ln>
          <a:effectLst/>
          <a:scene3d>
            <a:camera prst="orthographicFront"/>
            <a:lightRig rig="brightRoom" dir="t"/>
          </a:scene3d>
          <a:sp3d prstMaterial="flat">
            <a:bevelT w="50800" h="101600" prst="angle"/>
            <a:contourClr>
              <a:srgbClr val="000000"/>
            </a:contourClr>
          </a:sp3d>
        </c:spPr>
      </c:pivotFmt>
    </c:pivotFmts>
    <c:plotArea>
      <c:layout/>
      <c:pieChart>
        <c:varyColors val="1"/>
        <c:ser>
          <c:idx val="0"/>
          <c:order val="0"/>
          <c:tx>
            <c:v>Total</c:v>
          </c:tx>
          <c:dPt>
            <c:idx val="0"/>
            <c:bubble3D val="0"/>
            <c:spPr>
              <a:solidFill>
                <a:schemeClr val="accent5">
                  <a:tint val="54000"/>
                </a:schemeClr>
              </a:solidFill>
              <a:ln>
                <a:noFill/>
              </a:ln>
              <a:effectLst>
                <a:outerShdw blurRad="317500" algn="ctr" rotWithShape="0">
                  <a:prstClr val="black">
                    <a:alpha val="25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1-FAC3-4D1E-9B53-896E9A6199ED}"/>
              </c:ext>
            </c:extLst>
          </c:dPt>
          <c:dPt>
            <c:idx val="1"/>
            <c:bubble3D val="0"/>
            <c:spPr>
              <a:solidFill>
                <a:schemeClr val="accent5">
                  <a:tint val="77000"/>
                </a:schemeClr>
              </a:solidFill>
              <a:ln>
                <a:noFill/>
              </a:ln>
              <a:effectLst>
                <a:outerShdw blurRad="317500" algn="ctr" rotWithShape="0">
                  <a:prstClr val="black">
                    <a:alpha val="25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3-FAC3-4D1E-9B53-896E9A6199ED}"/>
              </c:ext>
            </c:extLst>
          </c:dPt>
          <c:dPt>
            <c:idx val="2"/>
            <c:bubble3D val="0"/>
            <c:spPr>
              <a:solidFill>
                <a:schemeClr val="accent5"/>
              </a:solidFill>
              <a:ln>
                <a:noFill/>
              </a:ln>
              <a:effectLst>
                <a:outerShdw blurRad="317500" algn="ctr" rotWithShape="0">
                  <a:prstClr val="black">
                    <a:alpha val="25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5-FAC3-4D1E-9B53-896E9A6199ED}"/>
              </c:ext>
            </c:extLst>
          </c:dPt>
          <c:dPt>
            <c:idx val="3"/>
            <c:bubble3D val="0"/>
            <c:spPr>
              <a:solidFill>
                <a:schemeClr val="accent5">
                  <a:shade val="76000"/>
                </a:schemeClr>
              </a:solidFill>
              <a:ln>
                <a:noFill/>
              </a:ln>
              <a:effectLst>
                <a:outerShdw blurRad="317500" algn="ctr" rotWithShape="0">
                  <a:prstClr val="black">
                    <a:alpha val="25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7-FAC3-4D1E-9B53-896E9A6199ED}"/>
              </c:ext>
            </c:extLst>
          </c:dPt>
          <c:dPt>
            <c:idx val="4"/>
            <c:bubble3D val="0"/>
            <c:spPr>
              <a:solidFill>
                <a:schemeClr val="accent5">
                  <a:shade val="53000"/>
                </a:schemeClr>
              </a:solidFill>
              <a:ln>
                <a:noFill/>
              </a:ln>
              <a:effectLst>
                <a:outerShdw blurRad="317500" algn="ctr" rotWithShape="0">
                  <a:prstClr val="black">
                    <a:alpha val="25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9-FAC3-4D1E-9B53-896E9A6199ED}"/>
              </c:ext>
            </c:extLst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1" i="0" u="none" strike="noStrike" kern="1200" baseline="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inEnd"/>
            <c:showLegendKey val="0"/>
            <c:showVal val="0"/>
            <c:showCatName val="1"/>
            <c:showSerName val="0"/>
            <c:showPercent val="1"/>
            <c:showBubbleSize val="0"/>
            <c:showLeaderLines val="1"/>
            <c:leaderLines>
              <c:spPr>
                <a:ln w="9525" cap="flat" cmpd="sng" algn="ctr">
                  <a:solidFill>
                    <a:schemeClr val="dk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Lit>
              <c:ptCount val="5"/>
              <c:pt idx="0">
                <c:v>Bangalore</c:v>
              </c:pt>
              <c:pt idx="1">
                <c:v>Delhi</c:v>
              </c:pt>
              <c:pt idx="2">
                <c:v>Hyderabad</c:v>
              </c:pt>
              <c:pt idx="3">
                <c:v>Mumbai</c:v>
              </c:pt>
              <c:pt idx="4">
                <c:v>Pune</c:v>
              </c:pt>
            </c:strLit>
          </c:cat>
          <c:val>
            <c:numLit>
              <c:formatCode>General</c:formatCode>
              <c:ptCount val="5"/>
              <c:pt idx="0">
                <c:v>160369</c:v>
              </c:pt>
              <c:pt idx="1">
                <c:v>221294</c:v>
              </c:pt>
              <c:pt idx="2">
                <c:v>297026</c:v>
              </c:pt>
              <c:pt idx="3">
                <c:v>272265</c:v>
              </c:pt>
              <c:pt idx="4">
                <c:v>220265</c:v>
              </c:pt>
            </c:numLit>
          </c:val>
          <c:extLst>
            <c:ext xmlns:c16="http://schemas.microsoft.com/office/drawing/2014/chart" uri="{C3380CC4-5D6E-409C-BE32-E72D297353CC}">
              <c16:uniqueId val="{0000000A-FAC3-4D1E-9B53-896E9A6199ED}"/>
            </c:ext>
          </c:extLst>
        </c:ser>
        <c:dLbls>
          <c:dLblPos val="inEnd"/>
          <c:showLegendKey val="0"/>
          <c:showVal val="0"/>
          <c:showCatName val="0"/>
          <c:showSerName val="0"/>
          <c:showPercent val="1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legend>
      <c:legendPos val="b"/>
      <c:overlay val="0"/>
      <c:spPr>
        <a:solidFill>
          <a:schemeClr val="lt1">
            <a:alpha val="78000"/>
          </a:schemeClr>
        </a:solidFill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dk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pattFill prst="dkDnDiag">
      <a:fgClr>
        <a:schemeClr val="lt1">
          <a:lumMod val="95000"/>
        </a:schemeClr>
      </a:fgClr>
      <a:bgClr>
        <a:schemeClr val="lt1"/>
      </a:bgClr>
    </a:pattFill>
    <a:ln w="9525" cap="flat" cmpd="sng" algn="ctr">
      <a:solidFill>
        <a:schemeClr val="dk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/>
</c:chartSpace>
</file>

<file path=xl/charts/colors1.xml><?xml version="1.0" encoding="utf-8"?>
<cs:colorStyle xmlns:cs="http://schemas.microsoft.com/office/drawing/2012/chartStyle" xmlns:a="http://schemas.openxmlformats.org/drawingml/2006/main" meth="withinLinearReversed" id="25">
  <a:schemeClr val="accent5"/>
</cs:colorStyle>
</file>

<file path=xl/charts/colors2.xml><?xml version="1.0" encoding="utf-8"?>
<cs:colorStyle xmlns:cs="http://schemas.microsoft.com/office/drawing/2012/chartStyle" xmlns:a="http://schemas.openxmlformats.org/drawingml/2006/main" meth="withinLinear" id="18">
  <a:schemeClr val="accent5"/>
</cs:colorStyle>
</file>

<file path=xl/charts/colors3.xml><?xml version="1.0" encoding="utf-8"?>
<cs:colorStyle xmlns:cs="http://schemas.microsoft.com/office/drawing/2012/chartStyle" xmlns:a="http://schemas.openxmlformats.org/drawingml/2006/main" meth="withinLinear" id="18">
  <a:schemeClr val="accent5"/>
</cs:colorStyle>
</file>

<file path=xl/charts/colors4.xml><?xml version="1.0" encoding="utf-8"?>
<cs:colorStyle xmlns:cs="http://schemas.microsoft.com/office/drawing/2012/chartStyle" xmlns:a="http://schemas.openxmlformats.org/drawingml/2006/main" meth="withinLinearReversed" id="25">
  <a:schemeClr val="accent5"/>
</cs:colorStyle>
</file>

<file path=xl/charts/style1.xml><?xml version="1.0" encoding="utf-8"?>
<cs:chartStyle xmlns:cs="http://schemas.microsoft.com/office/drawing/2012/chartStyle" xmlns:a="http://schemas.openxmlformats.org/drawingml/2006/main" id="214">
  <cs:axisTitle>
    <cs:lnRef idx="0"/>
    <cs:fillRef idx="0"/>
    <cs:effectRef idx="0"/>
    <cs:fontRef idx="minor">
      <a:schemeClr val="lt1"/>
    </cs:fontRef>
    <cs:defRPr sz="900" b="1" kern="1200"/>
  </cs:axisTitle>
  <cs:categoryAxis>
    <cs:lnRef idx="0">
      <cs:styleClr val="0"/>
    </cs:lnRef>
    <cs:fillRef idx="0"/>
    <cs:effectRef idx="0"/>
    <cs:fontRef idx="minor">
      <a:schemeClr val="lt1"/>
    </cs:fontRef>
    <cs:spPr>
      <a:ln w="3175" cap="flat" cmpd="sng" algn="ctr">
        <a:solidFill>
          <a:schemeClr val="phClr">
            <a:lumMod val="60000"/>
            <a:lumOff val="40000"/>
          </a:schemeClr>
        </a:solidFill>
        <a:round/>
      </a:ln>
    </cs:spPr>
    <cs:defRPr sz="800" kern="1200" cap="all" spc="150" normalizeH="0" baseline="0"/>
  </cs:categoryAxis>
  <cs:chartArea>
    <cs:lnRef idx="0">
      <cs:styleClr val="0"/>
    </cs:lnRef>
    <cs:fillRef idx="0">
      <cs:styleClr val="0"/>
    </cs:fillRef>
    <cs:effectRef idx="0"/>
    <cs:fontRef idx="minor">
      <a:schemeClr val="dk1"/>
    </cs:fontRef>
    <cs:spPr>
      <a:solidFill>
        <a:schemeClr val="phClr"/>
      </a:solidFill>
      <a:ln w="9525" cap="flat" cmpd="sng" algn="ctr">
        <a:solidFill>
          <a:schemeClr val="phClr"/>
        </a:solidFill>
        <a:round/>
      </a:ln>
    </cs:spPr>
    <cs:defRPr sz="1000" kern="1200"/>
  </cs:chartArea>
  <cs:dataLabel>
    <cs:lnRef idx="0"/>
    <cs:fillRef idx="0">
      <cs:styleClr val="auto"/>
    </cs:fillRef>
    <cs:effectRef idx="0"/>
    <cs:fontRef idx="minor">
      <a:schemeClr val="lt1"/>
    </cs:fontRef>
    <cs:spPr>
      <a:solidFill>
        <a:schemeClr val="phClr">
          <a:alpha val="70000"/>
        </a:schemeClr>
      </a:solidFill>
    </cs:spPr>
    <cs:defRPr sz="900" kern="1200"/>
  </cs:dataLabel>
  <cs:dataLabelCallout>
    <cs:lnRef idx="0">
      <cs:styleClr val="auto"/>
    </cs:lnRef>
    <cs:fillRef idx="0"/>
    <cs:effectRef idx="0"/>
    <cs:fontRef idx="minor">
      <cs:styleClr val="auto"/>
    </cs:fontRef>
    <cs:spPr>
      <a:solidFill>
        <a:schemeClr val="lt1"/>
      </a:solidFill>
      <a:ln>
        <a:solidFill>
          <a:schemeClr val="phClr"/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dk1"/>
    </cs:fontRef>
    <cs:spPr>
      <a:pattFill prst="ltUpDiag">
        <a:fgClr>
          <a:schemeClr val="phClr"/>
        </a:fgClr>
        <a:bgClr>
          <a:schemeClr val="lt1"/>
        </a:bgClr>
      </a:pattFill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pattFill prst="ltUpDiag">
        <a:fgClr>
          <a:schemeClr val="phClr"/>
        </a:fgClr>
        <a:bgClr>
          <a:schemeClr val="lt1"/>
        </a:bgClr>
      </a:pattFill>
    </cs:spPr>
  </cs:dataPoint3D>
  <cs:dataPointLine>
    <cs:lnRef idx="0">
      <cs:styleClr val="auto"/>
    </cs:lnRef>
    <cs:fillRef idx="0"/>
    <cs:effectRef idx="0">
      <cs:styleClr val="auto"/>
    </cs:effectRef>
    <cs:fontRef idx="minor">
      <a:schemeClr val="dk1"/>
    </cs:fontRef>
    <cs:spPr>
      <a:ln w="34925" cap="rnd">
        <a:solidFill>
          <a:schemeClr val="lt1"/>
        </a:solidFill>
        <a:round/>
      </a:ln>
      <a:effectLst>
        <a:outerShdw dist="25400" dir="2700000" algn="tl" rotWithShape="0">
          <a:schemeClr val="phClr"/>
        </a:outerShdw>
      </a:effectLst>
    </cs:spPr>
  </cs:dataPointLine>
  <cs:dataPointMarker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ln w="22225">
        <a:solidFill>
          <a:schemeClr val="lt1"/>
        </a:solidFill>
        <a:round/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>
      <cs:styleClr val="0"/>
    </cs:lnRef>
    <cs:fillRef idx="0"/>
    <cs:effectRef idx="0"/>
    <cs:fontRef idx="minor">
      <a:schemeClr val="lt1"/>
    </cs:fontRef>
    <cs:spPr>
      <a:ln w="9525">
        <a:solidFill>
          <a:schemeClr val="phClr">
            <a:lumMod val="60000"/>
            <a:lumOff val="40000"/>
          </a:schemeClr>
        </a:solidFill>
      </a:ln>
    </cs:spPr>
    <cs:defRPr sz="900" kern="1200"/>
  </cs:dataTable>
  <cs:downBar>
    <cs:lnRef idx="0">
      <cs:styleClr val="0"/>
    </cs:lnRef>
    <cs:fillRef idx="0"/>
    <cs:effectRef idx="0"/>
    <cs:fontRef idx="minor">
      <a:schemeClr val="dk1"/>
    </cs:fontRef>
    <cs:spPr>
      <a:solidFill>
        <a:schemeClr val="dk1">
          <a:lumMod val="35000"/>
          <a:lumOff val="65000"/>
        </a:schemeClr>
      </a:solidFill>
      <a:ln w="9525">
        <a:solidFill>
          <a:schemeClr val="phClr">
            <a:lumMod val="60000"/>
            <a:lumOff val="40000"/>
          </a:schemeClr>
        </a:solidFill>
      </a:ln>
    </cs:spPr>
  </cs:downBar>
  <cs:dropLine>
    <cs:lnRef idx="0">
      <cs:styleClr val="0"/>
    </cs:lnRef>
    <cs:fillRef idx="0"/>
    <cs:effectRef idx="0"/>
    <cs:fontRef idx="minor">
      <a:schemeClr val="dk1"/>
    </cs:fontRef>
    <cs:spPr>
      <a:ln w="9525">
        <a:solidFill>
          <a:schemeClr val="phClr">
            <a:lumMod val="60000"/>
            <a:lumOff val="40000"/>
          </a:schemeClr>
        </a:solidFill>
        <a:prstDash val="dash"/>
      </a:ln>
    </cs:spPr>
  </cs:dropLine>
  <cs:errorBar>
    <cs:lnRef idx="0">
      <cs:styleClr val="0"/>
    </cs:lnRef>
    <cs:fillRef idx="0"/>
    <cs:effectRef idx="0"/>
    <cs:fontRef idx="minor">
      <a:schemeClr val="dk1"/>
    </cs:fontRef>
    <cs:spPr>
      <a:ln w="9525">
        <a:solidFill>
          <a:schemeClr val="phClr">
            <a:lumMod val="60000"/>
            <a:lumOff val="40000"/>
          </a:schemeClr>
        </a:solidFill>
        <a:round/>
      </a:ln>
      <a:effectLst>
        <a:glow rad="25400">
          <a:schemeClr val="lt1"/>
        </a:glow>
      </a:effectLst>
    </cs:spPr>
  </cs:errorBar>
  <cs:floor>
    <cs:lnRef idx="0"/>
    <cs:fillRef idx="0"/>
    <cs:effectRef idx="0"/>
    <cs:fontRef idx="minor">
      <a:schemeClr val="dk1"/>
    </cs:fontRef>
  </cs:floor>
  <cs:gridlineMajor>
    <cs:lnRef idx="0">
      <cs:styleClr val="0"/>
    </cs:lnRef>
    <cs:fillRef idx="0"/>
    <cs:effectRef idx="0"/>
    <cs:fontRef idx="minor">
      <a:schemeClr val="dk1"/>
    </cs:fontRef>
    <cs:spPr>
      <a:ln w="9525" cap="flat" cmpd="sng" algn="ctr">
        <a:solidFill>
          <a:schemeClr val="lt1">
            <a:alpha val="25000"/>
          </a:schemeClr>
        </a:solidFill>
        <a:round/>
      </a:ln>
    </cs:spPr>
  </cs:gridlineMajor>
  <cs:gridlineMinor>
    <cs:lnRef idx="0">
      <cs:styleClr val="0"/>
    </cs:lnRef>
    <cs:fillRef idx="0"/>
    <cs:effectRef idx="0"/>
    <cs:fontRef idx="minor">
      <a:schemeClr val="dk1"/>
    </cs:fontRef>
    <cs:spPr>
      <a:ln>
        <a:solidFill>
          <a:schemeClr val="lt1">
            <a:alpha val="10000"/>
          </a:schemeClr>
        </a:solidFill>
      </a:ln>
    </cs:spPr>
  </cs:gridlineMinor>
  <cs:hiLoLine>
    <cs:lnRef idx="0">
      <cs:styleClr val="0"/>
    </cs:lnRef>
    <cs:fillRef idx="0"/>
    <cs:effectRef idx="0"/>
    <cs:fontRef idx="minor">
      <a:schemeClr val="dk1"/>
    </cs:fontRef>
    <cs:spPr>
      <a:ln w="9525">
        <a:solidFill>
          <a:schemeClr val="phClr">
            <a:lumMod val="60000"/>
            <a:lumOff val="40000"/>
          </a:schemeClr>
        </a:solidFill>
        <a:prstDash val="dash"/>
      </a:ln>
    </cs:spPr>
  </cs:hiLoLine>
  <cs:leaderLine>
    <cs:lnRef idx="0">
      <cs:styleClr val="0"/>
    </cs:lnRef>
    <cs:fillRef idx="0"/>
    <cs:effectRef idx="0"/>
    <cs:fontRef idx="minor">
      <a:schemeClr val="dk1"/>
    </cs:fontRef>
    <cs:spPr>
      <a:ln w="9525">
        <a:solidFill>
          <a:schemeClr val="phClr">
            <a:lumMod val="60000"/>
            <a:lumOff val="40000"/>
          </a:schemeClr>
        </a:solidFill>
      </a:ln>
    </cs:spPr>
  </cs:leaderLine>
  <cs:legend>
    <cs:lnRef idx="0"/>
    <cs:fillRef idx="0"/>
    <cs:effectRef idx="0"/>
    <cs:fontRef idx="minor">
      <a:schemeClr val="lt1"/>
    </cs:fontRef>
    <cs:defRPr sz="900" kern="1200"/>
  </cs:legend>
  <cs:plotArea>
    <cs:lnRef idx="0"/>
    <cs:fillRef idx="0"/>
    <cs:effectRef idx="0"/>
    <cs:fontRef idx="minor">
      <a:schemeClr val="dk1"/>
    </cs:fontRef>
  </cs:plotArea>
  <cs:plotArea3D>
    <cs:lnRef idx="0"/>
    <cs:fillRef idx="0"/>
    <cs:effectRef idx="0"/>
    <cs:fontRef idx="minor">
      <a:schemeClr val="dk1"/>
    </cs:fontRef>
  </cs:plotArea3D>
  <cs:seriesAxis>
    <cs:lnRef idx="0">
      <cs:styleClr val="0"/>
    </cs:lnRef>
    <cs:fillRef idx="0"/>
    <cs:effectRef idx="0"/>
    <cs:fontRef idx="minor">
      <a:schemeClr val="lt1"/>
    </cs:fontRef>
    <cs:spPr>
      <a:ln w="3175" cap="flat" cmpd="sng" algn="ctr">
        <a:solidFill>
          <a:schemeClr val="phClr">
            <a:lumMod val="60000"/>
            <a:lumOff val="40000"/>
          </a:schemeClr>
        </a:solidFill>
        <a:round/>
      </a:ln>
    </cs:spPr>
    <cs:defRPr sz="900" kern="1200"/>
  </cs:seriesAxis>
  <cs:seriesLine>
    <cs:lnRef idx="0">
      <cs:styleClr val="0"/>
    </cs:lnRef>
    <cs:fillRef idx="0"/>
    <cs:effectRef idx="0"/>
    <cs:fontRef idx="minor">
      <a:schemeClr val="dk1"/>
    </cs:fontRef>
    <cs:spPr>
      <a:ln w="9525">
        <a:solidFill>
          <a:schemeClr val="phClr">
            <a:lumMod val="60000"/>
            <a:lumOff val="40000"/>
            <a:tint val="50000"/>
          </a:schemeClr>
        </a:solidFill>
        <a:prstDash val="dash"/>
      </a:ln>
    </cs:spPr>
  </cs:seriesLine>
  <cs:title>
    <cs:lnRef idx="0"/>
    <cs:fillRef idx="0"/>
    <cs:effectRef idx="0"/>
    <cs:fontRef idx="minor">
      <a:schemeClr val="lt1"/>
    </cs:fontRef>
    <cs:defRPr sz="1500" b="1" kern="1200" cap="all" spc="100" normalizeH="0" baseline="0"/>
  </cs:title>
  <cs:trendline>
    <cs:lnRef idx="0"/>
    <cs:fillRef idx="0"/>
    <cs:effectRef idx="0"/>
    <cs:fontRef idx="minor">
      <a:schemeClr val="dk1"/>
    </cs:fontRef>
    <cs:spPr>
      <a:ln w="28575" cap="rnd">
        <a:solidFill>
          <a:schemeClr val="lt1">
            <a:alpha val="50000"/>
          </a:schemeClr>
        </a:solidFill>
        <a:round/>
      </a:ln>
    </cs:spPr>
  </cs:trendline>
  <cs:trendlineLabel>
    <cs:lnRef idx="0"/>
    <cs:fillRef idx="0"/>
    <cs:effectRef idx="0"/>
    <cs:fontRef idx="minor">
      <a:schemeClr val="lt1"/>
    </cs:fontRef>
    <cs:defRPr sz="900" kern="1200"/>
  </cs:trendlineLabel>
  <cs:upBar>
    <cs:lnRef idx="0">
      <cs:styleClr val="0"/>
    </cs:lnRef>
    <cs:fillRef idx="0"/>
    <cs:effectRef idx="0"/>
    <cs:fontRef idx="minor">
      <a:schemeClr val="dk1"/>
    </cs:fontRef>
    <cs:spPr>
      <a:solidFill>
        <a:schemeClr val="lt1">
          <a:lumMod val="95000"/>
        </a:schemeClr>
      </a:solidFill>
      <a:ln w="9525">
        <a:solidFill>
          <a:schemeClr val="phClr">
            <a:lumMod val="60000"/>
            <a:lumOff val="40000"/>
          </a:schemeClr>
        </a:solidFill>
      </a:ln>
    </cs:spPr>
  </cs:upBar>
  <cs:valueAxis>
    <cs:lnRef idx="0"/>
    <cs:fillRef idx="0"/>
    <cs:effectRef idx="0"/>
    <cs:fontRef idx="minor">
      <a:schemeClr val="lt1"/>
    </cs:fontRef>
    <cs:defRPr sz="900" kern="1200"/>
  </cs:valueAxis>
  <cs:wall>
    <cs:lnRef idx="0"/>
    <cs:fillRef idx="0"/>
    <cs:effectRef idx="0"/>
    <cs:fontRef idx="minor">
      <a:schemeClr val="dk1"/>
    </cs:fontRef>
  </cs:wall>
</cs:chartStyle>
</file>

<file path=xl/charts/style2.xml><?xml version="1.0" encoding="utf-8"?>
<cs:chartStyle xmlns:cs="http://schemas.microsoft.com/office/drawing/2012/chartStyle" xmlns:a="http://schemas.openxmlformats.org/drawingml/2006/main" id="229">
  <cs:axisTitle>
    <cs:lnRef idx="0"/>
    <cs:fillRef idx="0"/>
    <cs:effectRef idx="0"/>
    <cs:fontRef idx="minor">
      <a:schemeClr val="lt1"/>
    </cs:fontRef>
    <cs:defRPr sz="900" b="1" kern="1200"/>
  </cs:axisTitle>
  <cs:categoryAxis>
    <cs:lnRef idx="0">
      <cs:styleClr val="0"/>
    </cs:lnRef>
    <cs:fillRef idx="0"/>
    <cs:effectRef idx="0"/>
    <cs:fontRef idx="minor">
      <a:schemeClr val="lt1"/>
    </cs:fontRef>
    <cs:spPr>
      <a:ln w="12700" cap="flat" cmpd="sng" algn="ctr">
        <a:solidFill>
          <a:schemeClr val="lt1"/>
        </a:solidFill>
        <a:round/>
      </a:ln>
    </cs:spPr>
    <cs:defRPr sz="900" kern="1200" spc="100" baseline="0"/>
  </cs:categoryAxis>
  <cs:chartArea>
    <cs:lnRef idx="0">
      <cs:styleClr val="0"/>
    </cs:lnRef>
    <cs:fillRef idx="0">
      <cs:styleClr val="0"/>
    </cs:fillRef>
    <cs:effectRef idx="0"/>
    <cs:fontRef idx="minor">
      <a:schemeClr val="dk1"/>
    </cs:fontRef>
    <cs:spPr>
      <a:solidFill>
        <a:schemeClr val="phClr"/>
      </a:solidFill>
      <a:ln w="9525" cap="flat" cmpd="sng" algn="ctr">
        <a:solidFill>
          <a:schemeClr val="phClr"/>
        </a:solidFill>
        <a:round/>
      </a:ln>
    </cs:spPr>
    <cs:defRPr sz="1000" kern="1200"/>
  </cs:chartArea>
  <cs:dataLabel>
    <cs:lnRef idx="0"/>
    <cs:fillRef idx="0"/>
    <cs:effectRef idx="0"/>
    <cs:fontRef idx="minor">
      <a:schemeClr val="lt1"/>
    </cs:fontRef>
    <cs:defRPr sz="900" b="1" kern="1200"/>
  </cs:dataLabel>
  <cs:dataLabelCallout>
    <cs:lnRef idx="0">
      <cs:styleClr val="auto"/>
    </cs:lnRef>
    <cs:fillRef idx="0"/>
    <cs:effectRef idx="0"/>
    <cs:fontRef idx="minor">
      <cs:styleClr val="auto"/>
    </cs:fontRef>
    <cs:spPr>
      <a:solidFill>
        <a:schemeClr val="lt1"/>
      </a:solidFill>
      <a:ln>
        <a:solidFill>
          <a:schemeClr val="phClr"/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dk1"/>
    </cs:fontRef>
    <cs:spPr>
      <a:pattFill prst="ltUpDiag">
        <a:fgClr>
          <a:schemeClr val="phClr"/>
        </a:fgClr>
        <a:bgClr>
          <a:schemeClr val="lt1"/>
        </a:bgClr>
      </a:pattFill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pattFill prst="ltUpDiag">
        <a:fgClr>
          <a:schemeClr val="phClr"/>
        </a:fgClr>
        <a:bgClr>
          <a:schemeClr val="lt1"/>
        </a:bgClr>
      </a:pattFill>
    </cs:spPr>
  </cs:dataPoint3D>
  <cs:dataPointLine>
    <cs:lnRef idx="0">
      <cs:styleClr val="auto"/>
    </cs:lnRef>
    <cs:fillRef idx="0"/>
    <cs:effectRef idx="0">
      <cs:styleClr val="auto"/>
    </cs:effectRef>
    <cs:fontRef idx="minor">
      <a:schemeClr val="dk1"/>
    </cs:fontRef>
    <cs:spPr>
      <a:ln w="34925" cap="rnd">
        <a:solidFill>
          <a:schemeClr val="lt1"/>
        </a:solidFill>
        <a:round/>
      </a:ln>
      <a:effectLst>
        <a:outerShdw dist="25400" dir="2700000" algn="tl" rotWithShape="0">
          <a:schemeClr val="phClr"/>
        </a:outerShdw>
      </a:effectLst>
    </cs:spPr>
  </cs:dataPointLine>
  <cs:dataPointMarker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ln w="22225">
        <a:solidFill>
          <a:schemeClr val="lt1"/>
        </a:solidFill>
        <a:round/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>
      <cs:styleClr val="0"/>
    </cs:lnRef>
    <cs:fillRef idx="0"/>
    <cs:effectRef idx="0"/>
    <cs:fontRef idx="minor">
      <a:schemeClr val="lt1"/>
    </cs:fontRef>
    <cs:spPr>
      <a:ln w="9525">
        <a:solidFill>
          <a:schemeClr val="phClr">
            <a:lumMod val="60000"/>
            <a:lumOff val="40000"/>
          </a:schemeClr>
        </a:solidFill>
      </a:ln>
    </cs:spPr>
    <cs:defRPr sz="900" kern="1200"/>
  </cs:dataTable>
  <cs:downBar>
    <cs:lnRef idx="0">
      <cs:styleClr val="0"/>
    </cs:lnRef>
    <cs:fillRef idx="0"/>
    <cs:effectRef idx="0"/>
    <cs:fontRef idx="minor">
      <a:schemeClr val="dk1"/>
    </cs:fontRef>
    <cs:spPr>
      <a:solidFill>
        <a:schemeClr val="dk1">
          <a:lumMod val="35000"/>
          <a:lumOff val="65000"/>
        </a:schemeClr>
      </a:solidFill>
      <a:ln w="9525">
        <a:solidFill>
          <a:schemeClr val="phClr">
            <a:lumMod val="60000"/>
            <a:lumOff val="40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 cap="flat" cmpd="sng" algn="ctr">
        <a:gradFill>
          <a:gsLst>
            <a:gs pos="0">
              <a:schemeClr val="lt1"/>
            </a:gs>
            <a:gs pos="100000">
              <a:schemeClr val="lt1">
                <a:alpha val="0"/>
              </a:schemeClr>
            </a:gs>
          </a:gsLst>
          <a:lin ang="5400000" scaled="0"/>
        </a:gradFill>
        <a:round/>
      </a:ln>
    </cs:spPr>
  </cs:dropLine>
  <cs:errorBar>
    <cs:lnRef idx="0">
      <cs:styleClr val="0"/>
    </cs:lnRef>
    <cs:fillRef idx="0"/>
    <cs:effectRef idx="0"/>
    <cs:fontRef idx="minor">
      <a:schemeClr val="dk1"/>
    </cs:fontRef>
    <cs:spPr>
      <a:ln w="9525">
        <a:solidFill>
          <a:schemeClr val="phClr">
            <a:lumMod val="60000"/>
            <a:lumOff val="40000"/>
          </a:schemeClr>
        </a:solidFill>
        <a:round/>
      </a:ln>
      <a:effectLst>
        <a:glow rad="25400">
          <a:schemeClr val="lt1"/>
        </a:glow>
      </a:effectLst>
    </cs:spPr>
  </cs:errorBar>
  <cs:floor>
    <cs:lnRef idx="0"/>
    <cs:fillRef idx="0"/>
    <cs:effectRef idx="0"/>
    <cs:fontRef idx="minor">
      <a:schemeClr val="dk1"/>
    </cs:fontRef>
  </cs:floor>
  <cs:gridlineMajor>
    <cs:lnRef idx="0">
      <cs:styleClr val="0"/>
    </cs:lnRef>
    <cs:fillRef idx="0"/>
    <cs:effectRef idx="0"/>
    <cs:fontRef idx="minor">
      <a:schemeClr val="dk1"/>
    </cs:fontRef>
    <cs:spPr>
      <a:ln w="9525" cap="flat" cmpd="sng" algn="ctr">
        <a:solidFill>
          <a:schemeClr val="lt1">
            <a:alpha val="25000"/>
          </a:schemeClr>
        </a:solidFill>
        <a:round/>
      </a:ln>
    </cs:spPr>
  </cs:gridlineMajor>
  <cs:gridlineMinor>
    <cs:lnRef idx="0">
      <cs:styleClr val="0"/>
    </cs:lnRef>
    <cs:fillRef idx="0"/>
    <cs:effectRef idx="0"/>
    <cs:fontRef idx="minor">
      <a:schemeClr val="dk1"/>
    </cs:fontRef>
    <cs:spPr>
      <a:ln>
        <a:solidFill>
          <a:schemeClr val="lt1">
            <a:alpha val="10000"/>
          </a:schemeClr>
        </a:solidFill>
      </a:ln>
    </cs:spPr>
  </cs:gridlineMinor>
  <cs:hiLoLine>
    <cs:lnRef idx="0">
      <cs:styleClr val="0"/>
    </cs:lnRef>
    <cs:fillRef idx="0"/>
    <cs:effectRef idx="0"/>
    <cs:fontRef idx="minor">
      <a:schemeClr val="dk1"/>
    </cs:fontRef>
    <cs:spPr>
      <a:ln w="9525">
        <a:solidFill>
          <a:schemeClr val="phClr">
            <a:lumMod val="60000"/>
            <a:lumOff val="40000"/>
          </a:schemeClr>
        </a:solidFill>
        <a:prstDash val="dash"/>
      </a:ln>
    </cs:spPr>
  </cs:hiLoLine>
  <cs:leaderLine>
    <cs:lnRef idx="0">
      <cs:styleClr val="0"/>
    </cs:lnRef>
    <cs:fillRef idx="0"/>
    <cs:effectRef idx="0"/>
    <cs:fontRef idx="minor">
      <a:schemeClr val="dk1"/>
    </cs:fontRef>
    <cs:spPr>
      <a:ln w="9525">
        <a:solidFill>
          <a:schemeClr val="phClr">
            <a:lumMod val="60000"/>
            <a:lumOff val="40000"/>
          </a:schemeClr>
        </a:solidFill>
      </a:ln>
    </cs:spPr>
  </cs:leaderLine>
  <cs:legend>
    <cs:lnRef idx="0"/>
    <cs:fillRef idx="0"/>
    <cs:effectRef idx="0"/>
    <cs:fontRef idx="minor">
      <a:schemeClr val="lt1"/>
    </cs:fontRef>
    <cs:defRPr sz="900" kern="1200"/>
  </cs:legend>
  <cs:plotArea>
    <cs:lnRef idx="0"/>
    <cs:fillRef idx="0"/>
    <cs:effectRef idx="0"/>
    <cs:fontRef idx="minor">
      <a:schemeClr val="dk1"/>
    </cs:fontRef>
  </cs:plotArea>
  <cs:plotArea3D>
    <cs:lnRef idx="0"/>
    <cs:fillRef idx="0"/>
    <cs:effectRef idx="0"/>
    <cs:fontRef idx="minor">
      <a:schemeClr val="dk1"/>
    </cs:fontRef>
  </cs:plotArea3D>
  <cs:seriesAxis>
    <cs:lnRef idx="0">
      <cs:styleClr val="0"/>
    </cs:lnRef>
    <cs:fillRef idx="0"/>
    <cs:effectRef idx="0"/>
    <cs:fontRef idx="minor">
      <a:schemeClr val="lt1"/>
    </cs:fontRef>
    <cs:spPr>
      <a:ln w="3175" cap="flat" cmpd="sng" algn="ctr">
        <a:solidFill>
          <a:schemeClr val="phClr">
            <a:lumMod val="60000"/>
            <a:lumOff val="40000"/>
          </a:schemeClr>
        </a:solidFill>
        <a:round/>
      </a:ln>
    </cs:spPr>
    <cs:defRPr sz="900" kern="1200"/>
  </cs:seriesAxis>
  <cs:seriesLine>
    <cs:lnRef idx="0">
      <cs:styleClr val="0"/>
    </cs:lnRef>
    <cs:fillRef idx="0"/>
    <cs:effectRef idx="0"/>
    <cs:fontRef idx="minor">
      <a:schemeClr val="dk1"/>
    </cs:fontRef>
    <cs:spPr>
      <a:ln w="9525">
        <a:solidFill>
          <a:schemeClr val="phClr">
            <a:lumMod val="60000"/>
            <a:lumOff val="40000"/>
            <a:tint val="50000"/>
          </a:schemeClr>
        </a:solidFill>
        <a:prstDash val="dash"/>
      </a:ln>
    </cs:spPr>
  </cs:seriesLine>
  <cs:title>
    <cs:lnRef idx="0"/>
    <cs:fillRef idx="0"/>
    <cs:effectRef idx="0"/>
    <cs:fontRef idx="minor">
      <a:schemeClr val="lt1"/>
    </cs:fontRef>
    <cs:defRPr sz="1500" b="1" kern="1200" cap="all" spc="100" normalizeH="0" baseline="0"/>
  </cs:title>
  <cs:trendline>
    <cs:lnRef idx="0"/>
    <cs:fillRef idx="0"/>
    <cs:effectRef idx="0"/>
    <cs:fontRef idx="minor">
      <a:schemeClr val="dk1"/>
    </cs:fontRef>
    <cs:spPr>
      <a:ln w="28575" cap="rnd">
        <a:solidFill>
          <a:schemeClr val="lt1">
            <a:alpha val="50000"/>
          </a:schemeClr>
        </a:solidFill>
        <a:round/>
      </a:ln>
    </cs:spPr>
  </cs:trendline>
  <cs:trendlineLabel>
    <cs:lnRef idx="0"/>
    <cs:fillRef idx="0"/>
    <cs:effectRef idx="0"/>
    <cs:fontRef idx="minor">
      <a:schemeClr val="lt1"/>
    </cs:fontRef>
    <cs:defRPr sz="900" kern="1200"/>
  </cs:trendlineLabel>
  <cs:upBar>
    <cs:lnRef idx="0">
      <cs:styleClr val="0"/>
    </cs:lnRef>
    <cs:fillRef idx="0"/>
    <cs:effectRef idx="0"/>
    <cs:fontRef idx="minor">
      <a:schemeClr val="dk1"/>
    </cs:fontRef>
    <cs:spPr>
      <a:solidFill>
        <a:schemeClr val="lt1">
          <a:lumMod val="95000"/>
        </a:schemeClr>
      </a:solidFill>
      <a:ln w="9525">
        <a:solidFill>
          <a:schemeClr val="phClr">
            <a:lumMod val="60000"/>
            <a:lumOff val="40000"/>
          </a:schemeClr>
        </a:solidFill>
      </a:ln>
    </cs:spPr>
  </cs:upBar>
  <cs:valueAxis>
    <cs:lnRef idx="0"/>
    <cs:fillRef idx="0"/>
    <cs:effectRef idx="0"/>
    <cs:fontRef idx="minor">
      <a:schemeClr val="lt1"/>
    </cs:fontRef>
    <cs:defRPr sz="900" kern="1200"/>
  </cs:valueAxis>
  <cs:wall>
    <cs:lnRef idx="0"/>
    <cs:fillRef idx="0"/>
    <cs:effectRef idx="0"/>
    <cs:fontRef idx="minor">
      <a:schemeClr val="dk1"/>
    </cs:fontRef>
  </cs:wall>
</cs:chartStyle>
</file>

<file path=xl/charts/style3.xml><?xml version="1.0" encoding="utf-8"?>
<cs:chartStyle xmlns:cs="http://schemas.microsoft.com/office/drawing/2012/chartStyle" xmlns:a="http://schemas.openxmlformats.org/drawingml/2006/main" id="214">
  <cs:axisTitle>
    <cs:lnRef idx="0"/>
    <cs:fillRef idx="0"/>
    <cs:effectRef idx="0"/>
    <cs:fontRef idx="minor">
      <a:schemeClr val="lt1"/>
    </cs:fontRef>
    <cs:defRPr sz="900" b="1" kern="1200"/>
  </cs:axisTitle>
  <cs:categoryAxis>
    <cs:lnRef idx="0">
      <cs:styleClr val="0"/>
    </cs:lnRef>
    <cs:fillRef idx="0"/>
    <cs:effectRef idx="0"/>
    <cs:fontRef idx="minor">
      <a:schemeClr val="lt1"/>
    </cs:fontRef>
    <cs:spPr>
      <a:ln w="3175" cap="flat" cmpd="sng" algn="ctr">
        <a:solidFill>
          <a:schemeClr val="phClr">
            <a:lumMod val="60000"/>
            <a:lumOff val="40000"/>
          </a:schemeClr>
        </a:solidFill>
        <a:round/>
      </a:ln>
    </cs:spPr>
    <cs:defRPr sz="800" kern="1200" cap="all" spc="150" normalizeH="0" baseline="0"/>
  </cs:categoryAxis>
  <cs:chartArea>
    <cs:lnRef idx="0">
      <cs:styleClr val="0"/>
    </cs:lnRef>
    <cs:fillRef idx="0">
      <cs:styleClr val="0"/>
    </cs:fillRef>
    <cs:effectRef idx="0"/>
    <cs:fontRef idx="minor">
      <a:schemeClr val="dk1"/>
    </cs:fontRef>
    <cs:spPr>
      <a:solidFill>
        <a:schemeClr val="phClr"/>
      </a:solidFill>
      <a:ln w="9525" cap="flat" cmpd="sng" algn="ctr">
        <a:solidFill>
          <a:schemeClr val="phClr"/>
        </a:solidFill>
        <a:round/>
      </a:ln>
    </cs:spPr>
    <cs:defRPr sz="1000" kern="1200"/>
  </cs:chartArea>
  <cs:dataLabel>
    <cs:lnRef idx="0"/>
    <cs:fillRef idx="0">
      <cs:styleClr val="auto"/>
    </cs:fillRef>
    <cs:effectRef idx="0"/>
    <cs:fontRef idx="minor">
      <a:schemeClr val="lt1"/>
    </cs:fontRef>
    <cs:spPr>
      <a:solidFill>
        <a:schemeClr val="phClr">
          <a:alpha val="70000"/>
        </a:schemeClr>
      </a:solidFill>
    </cs:spPr>
    <cs:defRPr sz="900" kern="1200"/>
  </cs:dataLabel>
  <cs:dataLabelCallout>
    <cs:lnRef idx="0">
      <cs:styleClr val="auto"/>
    </cs:lnRef>
    <cs:fillRef idx="0"/>
    <cs:effectRef idx="0"/>
    <cs:fontRef idx="minor">
      <cs:styleClr val="auto"/>
    </cs:fontRef>
    <cs:spPr>
      <a:solidFill>
        <a:schemeClr val="lt1"/>
      </a:solidFill>
      <a:ln>
        <a:solidFill>
          <a:schemeClr val="phClr"/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dk1"/>
    </cs:fontRef>
    <cs:spPr>
      <a:pattFill prst="ltUpDiag">
        <a:fgClr>
          <a:schemeClr val="phClr"/>
        </a:fgClr>
        <a:bgClr>
          <a:schemeClr val="lt1"/>
        </a:bgClr>
      </a:pattFill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pattFill prst="ltUpDiag">
        <a:fgClr>
          <a:schemeClr val="phClr"/>
        </a:fgClr>
        <a:bgClr>
          <a:schemeClr val="lt1"/>
        </a:bgClr>
      </a:pattFill>
    </cs:spPr>
  </cs:dataPoint3D>
  <cs:dataPointLine>
    <cs:lnRef idx="0">
      <cs:styleClr val="auto"/>
    </cs:lnRef>
    <cs:fillRef idx="0"/>
    <cs:effectRef idx="0">
      <cs:styleClr val="auto"/>
    </cs:effectRef>
    <cs:fontRef idx="minor">
      <a:schemeClr val="dk1"/>
    </cs:fontRef>
    <cs:spPr>
      <a:ln w="34925" cap="rnd">
        <a:solidFill>
          <a:schemeClr val="lt1"/>
        </a:solidFill>
        <a:round/>
      </a:ln>
      <a:effectLst>
        <a:outerShdw dist="25400" dir="2700000" algn="tl" rotWithShape="0">
          <a:schemeClr val="phClr"/>
        </a:outerShdw>
      </a:effectLst>
    </cs:spPr>
  </cs:dataPointLine>
  <cs:dataPointMarker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ln w="22225">
        <a:solidFill>
          <a:schemeClr val="lt1"/>
        </a:solidFill>
        <a:round/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>
      <cs:styleClr val="0"/>
    </cs:lnRef>
    <cs:fillRef idx="0"/>
    <cs:effectRef idx="0"/>
    <cs:fontRef idx="minor">
      <a:schemeClr val="lt1"/>
    </cs:fontRef>
    <cs:spPr>
      <a:ln w="9525">
        <a:solidFill>
          <a:schemeClr val="phClr">
            <a:lumMod val="60000"/>
            <a:lumOff val="40000"/>
          </a:schemeClr>
        </a:solidFill>
      </a:ln>
    </cs:spPr>
    <cs:defRPr sz="900" kern="1200"/>
  </cs:dataTable>
  <cs:downBar>
    <cs:lnRef idx="0">
      <cs:styleClr val="0"/>
    </cs:lnRef>
    <cs:fillRef idx="0"/>
    <cs:effectRef idx="0"/>
    <cs:fontRef idx="minor">
      <a:schemeClr val="dk1"/>
    </cs:fontRef>
    <cs:spPr>
      <a:solidFill>
        <a:schemeClr val="dk1">
          <a:lumMod val="35000"/>
          <a:lumOff val="65000"/>
        </a:schemeClr>
      </a:solidFill>
      <a:ln w="9525">
        <a:solidFill>
          <a:schemeClr val="phClr">
            <a:lumMod val="60000"/>
            <a:lumOff val="40000"/>
          </a:schemeClr>
        </a:solidFill>
      </a:ln>
    </cs:spPr>
  </cs:downBar>
  <cs:dropLine>
    <cs:lnRef idx="0">
      <cs:styleClr val="0"/>
    </cs:lnRef>
    <cs:fillRef idx="0"/>
    <cs:effectRef idx="0"/>
    <cs:fontRef idx="minor">
      <a:schemeClr val="dk1"/>
    </cs:fontRef>
    <cs:spPr>
      <a:ln w="9525">
        <a:solidFill>
          <a:schemeClr val="phClr">
            <a:lumMod val="60000"/>
            <a:lumOff val="40000"/>
          </a:schemeClr>
        </a:solidFill>
        <a:prstDash val="dash"/>
      </a:ln>
    </cs:spPr>
  </cs:dropLine>
  <cs:errorBar>
    <cs:lnRef idx="0">
      <cs:styleClr val="0"/>
    </cs:lnRef>
    <cs:fillRef idx="0"/>
    <cs:effectRef idx="0"/>
    <cs:fontRef idx="minor">
      <a:schemeClr val="dk1"/>
    </cs:fontRef>
    <cs:spPr>
      <a:ln w="9525">
        <a:solidFill>
          <a:schemeClr val="phClr">
            <a:lumMod val="60000"/>
            <a:lumOff val="40000"/>
          </a:schemeClr>
        </a:solidFill>
        <a:round/>
      </a:ln>
      <a:effectLst>
        <a:glow rad="25400">
          <a:schemeClr val="lt1"/>
        </a:glow>
      </a:effectLst>
    </cs:spPr>
  </cs:errorBar>
  <cs:floor>
    <cs:lnRef idx="0"/>
    <cs:fillRef idx="0"/>
    <cs:effectRef idx="0"/>
    <cs:fontRef idx="minor">
      <a:schemeClr val="dk1"/>
    </cs:fontRef>
  </cs:floor>
  <cs:gridlineMajor>
    <cs:lnRef idx="0">
      <cs:styleClr val="0"/>
    </cs:lnRef>
    <cs:fillRef idx="0"/>
    <cs:effectRef idx="0"/>
    <cs:fontRef idx="minor">
      <a:schemeClr val="dk1"/>
    </cs:fontRef>
    <cs:spPr>
      <a:ln w="9525" cap="flat" cmpd="sng" algn="ctr">
        <a:solidFill>
          <a:schemeClr val="lt1">
            <a:alpha val="25000"/>
          </a:schemeClr>
        </a:solidFill>
        <a:round/>
      </a:ln>
    </cs:spPr>
  </cs:gridlineMajor>
  <cs:gridlineMinor>
    <cs:lnRef idx="0">
      <cs:styleClr val="0"/>
    </cs:lnRef>
    <cs:fillRef idx="0"/>
    <cs:effectRef idx="0"/>
    <cs:fontRef idx="minor">
      <a:schemeClr val="dk1"/>
    </cs:fontRef>
    <cs:spPr>
      <a:ln>
        <a:solidFill>
          <a:schemeClr val="lt1">
            <a:alpha val="10000"/>
          </a:schemeClr>
        </a:solidFill>
      </a:ln>
    </cs:spPr>
  </cs:gridlineMinor>
  <cs:hiLoLine>
    <cs:lnRef idx="0">
      <cs:styleClr val="0"/>
    </cs:lnRef>
    <cs:fillRef idx="0"/>
    <cs:effectRef idx="0"/>
    <cs:fontRef idx="minor">
      <a:schemeClr val="dk1"/>
    </cs:fontRef>
    <cs:spPr>
      <a:ln w="9525">
        <a:solidFill>
          <a:schemeClr val="phClr">
            <a:lumMod val="60000"/>
            <a:lumOff val="40000"/>
          </a:schemeClr>
        </a:solidFill>
        <a:prstDash val="dash"/>
      </a:ln>
    </cs:spPr>
  </cs:hiLoLine>
  <cs:leaderLine>
    <cs:lnRef idx="0">
      <cs:styleClr val="0"/>
    </cs:lnRef>
    <cs:fillRef idx="0"/>
    <cs:effectRef idx="0"/>
    <cs:fontRef idx="minor">
      <a:schemeClr val="dk1"/>
    </cs:fontRef>
    <cs:spPr>
      <a:ln w="9525">
        <a:solidFill>
          <a:schemeClr val="phClr">
            <a:lumMod val="60000"/>
            <a:lumOff val="40000"/>
          </a:schemeClr>
        </a:solidFill>
      </a:ln>
    </cs:spPr>
  </cs:leaderLine>
  <cs:legend>
    <cs:lnRef idx="0"/>
    <cs:fillRef idx="0"/>
    <cs:effectRef idx="0"/>
    <cs:fontRef idx="minor">
      <a:schemeClr val="lt1"/>
    </cs:fontRef>
    <cs:defRPr sz="900" kern="1200"/>
  </cs:legend>
  <cs:plotArea>
    <cs:lnRef idx="0"/>
    <cs:fillRef idx="0"/>
    <cs:effectRef idx="0"/>
    <cs:fontRef idx="minor">
      <a:schemeClr val="dk1"/>
    </cs:fontRef>
  </cs:plotArea>
  <cs:plotArea3D>
    <cs:lnRef idx="0"/>
    <cs:fillRef idx="0"/>
    <cs:effectRef idx="0"/>
    <cs:fontRef idx="minor">
      <a:schemeClr val="dk1"/>
    </cs:fontRef>
  </cs:plotArea3D>
  <cs:seriesAxis>
    <cs:lnRef idx="0">
      <cs:styleClr val="0"/>
    </cs:lnRef>
    <cs:fillRef idx="0"/>
    <cs:effectRef idx="0"/>
    <cs:fontRef idx="minor">
      <a:schemeClr val="lt1"/>
    </cs:fontRef>
    <cs:spPr>
      <a:ln w="3175" cap="flat" cmpd="sng" algn="ctr">
        <a:solidFill>
          <a:schemeClr val="phClr">
            <a:lumMod val="60000"/>
            <a:lumOff val="40000"/>
          </a:schemeClr>
        </a:solidFill>
        <a:round/>
      </a:ln>
    </cs:spPr>
    <cs:defRPr sz="900" kern="1200"/>
  </cs:seriesAxis>
  <cs:seriesLine>
    <cs:lnRef idx="0">
      <cs:styleClr val="0"/>
    </cs:lnRef>
    <cs:fillRef idx="0"/>
    <cs:effectRef idx="0"/>
    <cs:fontRef idx="minor">
      <a:schemeClr val="dk1"/>
    </cs:fontRef>
    <cs:spPr>
      <a:ln w="9525">
        <a:solidFill>
          <a:schemeClr val="phClr">
            <a:lumMod val="60000"/>
            <a:lumOff val="40000"/>
            <a:tint val="50000"/>
          </a:schemeClr>
        </a:solidFill>
        <a:prstDash val="dash"/>
      </a:ln>
    </cs:spPr>
  </cs:seriesLine>
  <cs:title>
    <cs:lnRef idx="0"/>
    <cs:fillRef idx="0"/>
    <cs:effectRef idx="0"/>
    <cs:fontRef idx="minor">
      <a:schemeClr val="lt1"/>
    </cs:fontRef>
    <cs:defRPr sz="1500" b="1" kern="1200" cap="all" spc="100" normalizeH="0" baseline="0"/>
  </cs:title>
  <cs:trendline>
    <cs:lnRef idx="0"/>
    <cs:fillRef idx="0"/>
    <cs:effectRef idx="0"/>
    <cs:fontRef idx="minor">
      <a:schemeClr val="dk1"/>
    </cs:fontRef>
    <cs:spPr>
      <a:ln w="28575" cap="rnd">
        <a:solidFill>
          <a:schemeClr val="lt1">
            <a:alpha val="50000"/>
          </a:schemeClr>
        </a:solidFill>
        <a:round/>
      </a:ln>
    </cs:spPr>
  </cs:trendline>
  <cs:trendlineLabel>
    <cs:lnRef idx="0"/>
    <cs:fillRef idx="0"/>
    <cs:effectRef idx="0"/>
    <cs:fontRef idx="minor">
      <a:schemeClr val="lt1"/>
    </cs:fontRef>
    <cs:defRPr sz="900" kern="1200"/>
  </cs:trendlineLabel>
  <cs:upBar>
    <cs:lnRef idx="0">
      <cs:styleClr val="0"/>
    </cs:lnRef>
    <cs:fillRef idx="0"/>
    <cs:effectRef idx="0"/>
    <cs:fontRef idx="minor">
      <a:schemeClr val="dk1"/>
    </cs:fontRef>
    <cs:spPr>
      <a:solidFill>
        <a:schemeClr val="lt1">
          <a:lumMod val="95000"/>
        </a:schemeClr>
      </a:solidFill>
      <a:ln w="9525">
        <a:solidFill>
          <a:schemeClr val="phClr">
            <a:lumMod val="60000"/>
            <a:lumOff val="40000"/>
          </a:schemeClr>
        </a:solidFill>
      </a:ln>
    </cs:spPr>
  </cs:upBar>
  <cs:valueAxis>
    <cs:lnRef idx="0"/>
    <cs:fillRef idx="0"/>
    <cs:effectRef idx="0"/>
    <cs:fontRef idx="minor">
      <a:schemeClr val="lt1"/>
    </cs:fontRef>
    <cs:defRPr sz="900" kern="1200"/>
  </cs:valueAxis>
  <cs:wall>
    <cs:lnRef idx="0"/>
    <cs:fillRef idx="0"/>
    <cs:effectRef idx="0"/>
    <cs:fontRef idx="minor">
      <a:schemeClr val="dk1"/>
    </cs:fontRef>
  </cs:wall>
</cs:chartStyle>
</file>

<file path=xl/charts/style4.xml><?xml version="1.0" encoding="utf-8"?>
<cs:chartStyle xmlns:cs="http://schemas.microsoft.com/office/drawing/2012/chartStyle" xmlns:a="http://schemas.openxmlformats.org/drawingml/2006/main" id="261">
  <cs:axisTitle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axisTitle>
  <cs:categoryAxis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categoryAxis>
  <cs:chartArea>
    <cs:lnRef idx="0"/>
    <cs:fillRef idx="0"/>
    <cs:effectRef idx="0"/>
    <cs:fontRef idx="minor">
      <a:schemeClr val="dk1"/>
    </cs:fontRef>
    <cs:spPr>
      <a:pattFill prst="dkDnDiag">
        <a:fgClr>
          <a:schemeClr val="lt1">
            <a:lumMod val="95000"/>
          </a:schemeClr>
        </a:fgClr>
        <a:bgClr>
          <a:schemeClr val="lt1"/>
        </a:bgClr>
      </a:pattFill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lt1"/>
    </cs:fontRef>
    <cs:defRPr sz="900" b="1" i="0" u="none" strike="noStrike" kern="1200" baseline="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>
          <a:alpha val="75000"/>
        </a:schemeClr>
      </a:solidFill>
      <a:ln w="9525"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effectLst>
        <a:outerShdw blurRad="317500" algn="ctr" rotWithShape="0">
          <a:prstClr val="black">
            <a:alpha val="25000"/>
          </a:prstClr>
        </a:outerShdw>
      </a:effectLst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effectLst>
        <a:outerShdw blurRad="88900" sx="102000" sy="102000" algn="ctr" rotWithShape="0">
          <a:prstClr val="black">
            <a:alpha val="20000"/>
          </a:prstClr>
        </a:outerShdw>
      </a:effectLst>
      <a:scene3d>
        <a:camera prst="orthographicFront"/>
        <a:lightRig rig="threePt" dir="t"/>
      </a:scene3d>
      <a:sp3d prstMaterial="matte"/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28575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ln w="9525">
        <a:solidFill>
          <a:schemeClr val="lt1"/>
        </a:solidFill>
      </a:ln>
    </cs:spPr>
  </cs:dataPointMarker>
  <cs:dataPointMarkerLayout symbol="circle" size="6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dk1">
        <a:lumMod val="65000"/>
        <a:lumOff val="35000"/>
      </a:schemeClr>
    </cs:fontRef>
    <cs:spPr>
      <a:noFill/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dk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>
          <a:alpha val="78000"/>
        </a:schemeClr>
      </a:solidFill>
    </cs:spPr>
    <cs:defRPr sz="900" kern="1200"/>
  </cs:legend>
  <cs:plotArea mods="allowNoFillOverride allowNoLineOverride">
    <cs:lnRef idx="0"/>
    <cs:fillRef idx="0"/>
    <cs:effectRef idx="0"/>
    <cs:fontRef idx="minor">
      <a:schemeClr val="dk1"/>
    </cs:fontRef>
  </cs:plotArea>
  <cs:plotArea3D mods="allowNoFillOverride allowNoLineOverride"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dk1">
        <a:lumMod val="65000"/>
        <a:lumOff val="35000"/>
      </a:schemeClr>
    </cs:fontRef>
    <cs:defRPr sz="1800" b="1" kern="120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 cap="flat" cmpd="sng" algn="ctr">
        <a:solidFill>
          <a:schemeClr val="dk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dk1"/>
    </cs:fontRef>
  </cs:wall>
</cs:chartStyl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Relationship Id="rId4" Type="http://schemas.openxmlformats.org/officeDocument/2006/relationships/chart" Target="../charts/chart4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495300</xdr:colOff>
      <xdr:row>4</xdr:row>
      <xdr:rowOff>22860</xdr:rowOff>
    </xdr:from>
    <xdr:to>
      <xdr:col>4</xdr:col>
      <xdr:colOff>200340</xdr:colOff>
      <xdr:row>7</xdr:row>
      <xdr:rowOff>2900</xdr:rowOff>
    </xdr:to>
    <xdr:sp macro="" textlink="ANALYSIS!$H$8">
      <xdr:nvSpPr>
        <xdr:cNvPr id="2" name="Rectangle: Rounded Corners 1">
          <a:extLst>
            <a:ext uri="{FF2B5EF4-FFF2-40B4-BE49-F238E27FC236}">
              <a16:creationId xmlns:a16="http://schemas.microsoft.com/office/drawing/2014/main" id="{7FA83FE0-1B3D-4313-8BE7-3707A902E818}"/>
            </a:ext>
          </a:extLst>
        </xdr:cNvPr>
        <xdr:cNvSpPr/>
      </xdr:nvSpPr>
      <xdr:spPr>
        <a:xfrm>
          <a:off x="1104900" y="982980"/>
          <a:ext cx="1533840" cy="528680"/>
        </a:xfrm>
        <a:prstGeom prst="roundRect">
          <a:avLst/>
        </a:prstGeom>
        <a:solidFill>
          <a:schemeClr val="tx2">
            <a:lumMod val="20000"/>
            <a:lumOff val="80000"/>
          </a:schemeClr>
        </a:solidFill>
        <a:ln>
          <a:solidFill>
            <a:schemeClr val="tx2"/>
          </a:solidFill>
        </a:ln>
        <a:effectLst>
          <a:reflection blurRad="6350" stA="50000" endA="300" endPos="90000" dir="5400000" sy="-100000" algn="bl" rotWithShape="0"/>
        </a:effectLst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fld id="{75599FE6-60CB-42D2-AD55-61A1E1F0EFF8}" type="TxLink">
            <a:rPr lang="en-US" sz="1800" b="0" i="0" u="none" strike="noStrike">
              <a:solidFill>
                <a:srgbClr val="000000"/>
              </a:solidFill>
              <a:latin typeface="Times New Roman" panose="02020603050405020304" pitchFamily="18" charset="0"/>
              <a:ea typeface="Calibri"/>
              <a:cs typeface="Times New Roman" panose="02020603050405020304" pitchFamily="18" charset="0"/>
            </a:rPr>
            <a:pPr algn="ctr"/>
            <a:t>₹ 2,18,228.07</a:t>
          </a:fld>
          <a:endParaRPr lang="en-IN" sz="1100">
            <a:latin typeface="Times New Roman" panose="02020603050405020304" pitchFamily="18" charset="0"/>
            <a:cs typeface="Times New Roman" panose="02020603050405020304" pitchFamily="18" charset="0"/>
          </a:endParaRPr>
        </a:p>
      </xdr:txBody>
    </xdr:sp>
    <xdr:clientData/>
  </xdr:twoCellAnchor>
  <xdr:twoCellAnchor>
    <xdr:from>
      <xdr:col>4</xdr:col>
      <xdr:colOff>281940</xdr:colOff>
      <xdr:row>4</xdr:row>
      <xdr:rowOff>22860</xdr:rowOff>
    </xdr:from>
    <xdr:to>
      <xdr:col>6</xdr:col>
      <xdr:colOff>586154</xdr:colOff>
      <xdr:row>7</xdr:row>
      <xdr:rowOff>18140</xdr:rowOff>
    </xdr:to>
    <xdr:sp macro="" textlink="$A39">
      <xdr:nvSpPr>
        <xdr:cNvPr id="3" name="Rectangle: Rounded Corners 2">
          <a:extLst>
            <a:ext uri="{FF2B5EF4-FFF2-40B4-BE49-F238E27FC236}">
              <a16:creationId xmlns:a16="http://schemas.microsoft.com/office/drawing/2014/main" id="{4F3D6F9E-2325-4F75-ABE6-FE75351985E9}"/>
            </a:ext>
          </a:extLst>
        </xdr:cNvPr>
        <xdr:cNvSpPr/>
      </xdr:nvSpPr>
      <xdr:spPr>
        <a:xfrm>
          <a:off x="2720340" y="1051560"/>
          <a:ext cx="1523414" cy="543920"/>
        </a:xfrm>
        <a:prstGeom prst="roundRect">
          <a:avLst/>
        </a:prstGeom>
        <a:solidFill>
          <a:schemeClr val="tx2">
            <a:lumMod val="20000"/>
            <a:lumOff val="80000"/>
          </a:schemeClr>
        </a:solidFill>
        <a:ln>
          <a:solidFill>
            <a:schemeClr val="tx2"/>
          </a:solidFill>
        </a:ln>
        <a:effectLst>
          <a:reflection blurRad="6350" stA="50000" endA="300" endPos="90000" dir="5400000" sy="-100000" algn="bl" rotWithShape="0"/>
        </a:effectLst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fld id="{428A2AD9-F685-4F46-920C-CA93D82E28D4}" type="TxLink">
            <a:rPr lang="en-US" sz="1800" b="0" i="0" u="none" strike="noStrike">
              <a:solidFill>
                <a:srgbClr val="000000"/>
              </a:solidFill>
              <a:latin typeface="Times New Roman" panose="02020603050405020304" pitchFamily="18" charset="0"/>
              <a:ea typeface="Calibri"/>
              <a:cs typeface="Times New Roman" panose="02020603050405020304" pitchFamily="18" charset="0"/>
            </a:rPr>
            <a:pPr algn="ctr"/>
            <a:t>5856.095</a:t>
          </a:fld>
          <a:endParaRPr lang="en-IN" sz="1100" b="0" i="0">
            <a:latin typeface="Times New Roman" panose="02020603050405020304" pitchFamily="18" charset="0"/>
            <a:cs typeface="Times New Roman" panose="02020603050405020304" pitchFamily="18" charset="0"/>
          </a:endParaRPr>
        </a:p>
      </xdr:txBody>
    </xdr:sp>
    <xdr:clientData/>
  </xdr:twoCellAnchor>
  <xdr:twoCellAnchor>
    <xdr:from>
      <xdr:col>7</xdr:col>
      <xdr:colOff>76200</xdr:colOff>
      <xdr:row>4</xdr:row>
      <xdr:rowOff>38100</xdr:rowOff>
    </xdr:from>
    <xdr:to>
      <xdr:col>9</xdr:col>
      <xdr:colOff>380414</xdr:colOff>
      <xdr:row>7</xdr:row>
      <xdr:rowOff>41000</xdr:rowOff>
    </xdr:to>
    <xdr:sp macro="" textlink="$B39">
      <xdr:nvSpPr>
        <xdr:cNvPr id="4" name="Rectangle: Rounded Corners 3">
          <a:extLst>
            <a:ext uri="{FF2B5EF4-FFF2-40B4-BE49-F238E27FC236}">
              <a16:creationId xmlns:a16="http://schemas.microsoft.com/office/drawing/2014/main" id="{875244EC-4DF0-404E-A656-47798DF600B8}"/>
            </a:ext>
          </a:extLst>
        </xdr:cNvPr>
        <xdr:cNvSpPr/>
      </xdr:nvSpPr>
      <xdr:spPr>
        <a:xfrm>
          <a:off x="4343400" y="998220"/>
          <a:ext cx="1523414" cy="551540"/>
        </a:xfrm>
        <a:prstGeom prst="roundRect">
          <a:avLst/>
        </a:prstGeom>
        <a:solidFill>
          <a:schemeClr val="tx2">
            <a:lumMod val="20000"/>
            <a:lumOff val="80000"/>
          </a:schemeClr>
        </a:solidFill>
        <a:ln>
          <a:solidFill>
            <a:schemeClr val="tx2"/>
          </a:solidFill>
        </a:ln>
        <a:effectLst>
          <a:reflection blurRad="6350" stA="50000" endA="300" endPos="90000" dir="5400000" sy="-100000" algn="bl" rotWithShape="0"/>
        </a:effectLst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fld id="{2953CF1A-19B3-4561-A566-DAB8BFF900EE}" type="TxLink">
            <a:rPr lang="en-US" sz="1800" b="0" i="0" u="none" strike="noStrike">
              <a:solidFill>
                <a:srgbClr val="000000"/>
              </a:solidFill>
              <a:latin typeface="Times New Roman" panose="02020603050405020304" pitchFamily="18" charset="0"/>
              <a:ea typeface="Calibri"/>
              <a:cs typeface="Times New Roman" panose="02020603050405020304" pitchFamily="18" charset="0"/>
            </a:rPr>
            <a:pPr algn="ctr"/>
            <a:t>200</a:t>
          </a:fld>
          <a:endParaRPr lang="en-IN" sz="1100" b="0" i="0">
            <a:latin typeface="Times New Roman" panose="02020603050405020304" pitchFamily="18" charset="0"/>
            <a:cs typeface="Times New Roman" panose="02020603050405020304" pitchFamily="18" charset="0"/>
          </a:endParaRPr>
        </a:p>
      </xdr:txBody>
    </xdr:sp>
    <xdr:clientData/>
  </xdr:twoCellAnchor>
  <xdr:twoCellAnchor>
    <xdr:from>
      <xdr:col>9</xdr:col>
      <xdr:colOff>502920</xdr:colOff>
      <xdr:row>4</xdr:row>
      <xdr:rowOff>45720</xdr:rowOff>
    </xdr:from>
    <xdr:to>
      <xdr:col>12</xdr:col>
      <xdr:colOff>200340</xdr:colOff>
      <xdr:row>7</xdr:row>
      <xdr:rowOff>36897</xdr:rowOff>
    </xdr:to>
    <xdr:sp macro="" textlink="$C39">
      <xdr:nvSpPr>
        <xdr:cNvPr id="5" name="Rectangle: Rounded Corners 4">
          <a:extLst>
            <a:ext uri="{FF2B5EF4-FFF2-40B4-BE49-F238E27FC236}">
              <a16:creationId xmlns:a16="http://schemas.microsoft.com/office/drawing/2014/main" id="{56CBBE03-2884-4D97-B658-F9A547640F1C}"/>
            </a:ext>
          </a:extLst>
        </xdr:cNvPr>
        <xdr:cNvSpPr/>
      </xdr:nvSpPr>
      <xdr:spPr>
        <a:xfrm>
          <a:off x="5989320" y="1005840"/>
          <a:ext cx="1526220" cy="539817"/>
        </a:xfrm>
        <a:prstGeom prst="roundRect">
          <a:avLst/>
        </a:prstGeom>
        <a:solidFill>
          <a:schemeClr val="tx2">
            <a:lumMod val="20000"/>
            <a:lumOff val="80000"/>
          </a:schemeClr>
        </a:solidFill>
        <a:ln>
          <a:solidFill>
            <a:schemeClr val="tx2"/>
          </a:solidFill>
        </a:ln>
        <a:effectLst>
          <a:reflection blurRad="6350" stA="50000" endA="300" endPos="90000" dir="5400000" sy="-100000" algn="bl" rotWithShape="0"/>
        </a:effectLst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fld id="{D59C1453-45A2-4BA6-902D-52A9FC6C3095}" type="TxLink">
            <a:rPr lang="en-US" sz="1800" b="0" i="0" u="none" strike="noStrike">
              <a:solidFill>
                <a:srgbClr val="000000"/>
              </a:solidFill>
              <a:latin typeface="Times New Roman" panose="02020603050405020304" pitchFamily="18" charset="0"/>
              <a:ea typeface="Calibri"/>
              <a:cs typeface="Times New Roman" panose="02020603050405020304" pitchFamily="18" charset="0"/>
            </a:rPr>
            <a:pPr algn="ctr"/>
            <a:t>218228.07</a:t>
          </a:fld>
          <a:endParaRPr lang="en-IN" sz="1100" b="0" i="0">
            <a:latin typeface="Times New Roman" panose="02020603050405020304" pitchFamily="18" charset="0"/>
            <a:cs typeface="Times New Roman" panose="02020603050405020304" pitchFamily="18" charset="0"/>
          </a:endParaRPr>
        </a:p>
      </xdr:txBody>
    </xdr:sp>
    <xdr:clientData/>
  </xdr:twoCellAnchor>
  <xdr:twoCellAnchor>
    <xdr:from>
      <xdr:col>1</xdr:col>
      <xdr:colOff>260909</xdr:colOff>
      <xdr:row>23</xdr:row>
      <xdr:rowOff>28986</xdr:rowOff>
    </xdr:from>
    <xdr:to>
      <xdr:col>7</xdr:col>
      <xdr:colOff>250032</xdr:colOff>
      <xdr:row>35</xdr:row>
      <xdr:rowOff>0</xdr:rowOff>
    </xdr:to>
    <xdr:graphicFrame macro="">
      <xdr:nvGraphicFramePr>
        <xdr:cNvPr id="7" name="Chart 6">
          <a:extLst>
            <a:ext uri="{FF2B5EF4-FFF2-40B4-BE49-F238E27FC236}">
              <a16:creationId xmlns:a16="http://schemas.microsoft.com/office/drawing/2014/main" id="{33292DCB-F2F7-4511-9512-D805F7815B79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7</xdr:col>
      <xdr:colOff>406948</xdr:colOff>
      <xdr:row>10</xdr:row>
      <xdr:rowOff>119062</xdr:rowOff>
    </xdr:from>
    <xdr:to>
      <xdr:col>13</xdr:col>
      <xdr:colOff>428624</xdr:colOff>
      <xdr:row>22</xdr:row>
      <xdr:rowOff>59531</xdr:rowOff>
    </xdr:to>
    <xdr:graphicFrame macro="">
      <xdr:nvGraphicFramePr>
        <xdr:cNvPr id="8" name="Chart 7">
          <a:extLst>
            <a:ext uri="{FF2B5EF4-FFF2-40B4-BE49-F238E27FC236}">
              <a16:creationId xmlns:a16="http://schemas.microsoft.com/office/drawing/2014/main" id="{D7CC49B9-794E-4407-81B5-D6DD7954455F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1</xdr:col>
      <xdr:colOff>261938</xdr:colOff>
      <xdr:row>10</xdr:row>
      <xdr:rowOff>119061</xdr:rowOff>
    </xdr:from>
    <xdr:to>
      <xdr:col>7</xdr:col>
      <xdr:colOff>252779</xdr:colOff>
      <xdr:row>22</xdr:row>
      <xdr:rowOff>71436</xdr:rowOff>
    </xdr:to>
    <xdr:graphicFrame macro="">
      <xdr:nvGraphicFramePr>
        <xdr:cNvPr id="9" name="Chart 8">
          <a:extLst>
            <a:ext uri="{FF2B5EF4-FFF2-40B4-BE49-F238E27FC236}">
              <a16:creationId xmlns:a16="http://schemas.microsoft.com/office/drawing/2014/main" id="{ACB0D7C6-1657-4493-868D-78D5C995B232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7</xdr:col>
      <xdr:colOff>416719</xdr:colOff>
      <xdr:row>23</xdr:row>
      <xdr:rowOff>23813</xdr:rowOff>
    </xdr:from>
    <xdr:to>
      <xdr:col>13</xdr:col>
      <xdr:colOff>388471</xdr:colOff>
      <xdr:row>34</xdr:row>
      <xdr:rowOff>169435</xdr:rowOff>
    </xdr:to>
    <xdr:graphicFrame macro="">
      <xdr:nvGraphicFramePr>
        <xdr:cNvPr id="10" name="Chart 9">
          <a:extLst>
            <a:ext uri="{FF2B5EF4-FFF2-40B4-BE49-F238E27FC236}">
              <a16:creationId xmlns:a16="http://schemas.microsoft.com/office/drawing/2014/main" id="{5192F5D6-B9F3-4E71-9CAF-E03F3D230397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ADMIN" refreshedDate="46112.401002546299" createdVersion="8" refreshedVersion="8" minRefreshableVersion="3" recordCount="200" xr:uid="{71C0BE48-D5D2-4DAF-A514-17DE6ADB6E22}">
  <cacheSource type="worksheet">
    <worksheetSource name="Table1"/>
  </cacheSource>
  <cacheFields count="13">
    <cacheField name="Order_ID" numFmtId="0">
      <sharedItems containsSemiMixedTypes="0" containsString="0" containsNumber="1" containsInteger="1" minValue="1" maxValue="200"/>
    </cacheField>
    <cacheField name="City" numFmtId="0">
      <sharedItems count="5">
        <s v="Delhi"/>
        <s v="Mumbai"/>
        <s v="Hyderabad"/>
        <s v="Pune"/>
        <s v="Bangalore"/>
      </sharedItems>
    </cacheField>
    <cacheField name="Category" numFmtId="0">
      <sharedItems count="4">
        <s v="Groceries"/>
        <s v="Electronics"/>
        <s v="Furniture"/>
        <s v="Clothing"/>
      </sharedItems>
    </cacheField>
    <cacheField name="Quantity" numFmtId="0">
      <sharedItems containsSemiMixedTypes="0" containsString="0" containsNumber="1" containsInteger="1" minValue="1" maxValue="10"/>
    </cacheField>
    <cacheField name="Unit_Price" numFmtId="0">
      <sharedItems containsSemiMixedTypes="0" containsString="0" containsNumber="1" containsInteger="1" minValue="102" maxValue="1965"/>
    </cacheField>
    <cacheField name="Total_Sales" numFmtId="0">
      <sharedItems containsSemiMixedTypes="0" containsString="0" containsNumber="1" containsInteger="1" minValue="250" maxValue="19460"/>
    </cacheField>
    <cacheField name="Profit" numFmtId="0">
      <sharedItems containsSemiMixedTypes="0" containsString="0" containsNumber="1" minValue="16.079999999999998" maxValue="4888.63"/>
    </cacheField>
    <cacheField name="Payment_Method" numFmtId="0">
      <sharedItems/>
    </cacheField>
    <cacheField name="Order_Date" numFmtId="0">
      <sharedItems/>
    </cacheField>
    <cacheField name="Year" numFmtId="0">
      <sharedItems count="2">
        <s v="2023"/>
        <s v="2024"/>
      </sharedItems>
    </cacheField>
    <cacheField name="Order Month" numFmtId="0">
      <sharedItems count="12">
        <s v="Oct"/>
        <s v="May"/>
        <s v="Mar"/>
        <s v="Feb"/>
        <s v="Jun"/>
        <s v="Sep"/>
        <s v="Jul"/>
        <s v="Apr"/>
        <s v="Dec"/>
        <s v="Nov"/>
        <s v="Aug"/>
        <s v="Jan"/>
      </sharedItems>
    </cacheField>
    <cacheField name="Profit Margin" numFmtId="10">
      <sharedItems containsSemiMixedTypes="0" containsString="0" containsNumber="1" minValue="5.0249999999999996E-2" maxValue="0.29859964093357272"/>
    </cacheField>
    <cacheField name="Profit/Loss" numFmtId="0">
      <sharedItems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200">
  <r>
    <n v="1"/>
    <x v="0"/>
    <x v="0"/>
    <n v="9"/>
    <n v="1354"/>
    <n v="12186"/>
    <n v="986.1"/>
    <s v="UPI"/>
    <s v="2023-10-10"/>
    <x v="0"/>
    <x v="0"/>
    <n v="8.0920728705071401E-2"/>
    <s v="Profit"/>
  </r>
  <r>
    <n v="2"/>
    <x v="0"/>
    <x v="1"/>
    <n v="9"/>
    <n v="1733"/>
    <n v="15597"/>
    <n v="3483.36"/>
    <s v="Card"/>
    <s v="2023-05-20"/>
    <x v="0"/>
    <x v="1"/>
    <n v="0.22333525678015004"/>
    <s v="Profit"/>
  </r>
  <r>
    <n v="3"/>
    <x v="1"/>
    <x v="1"/>
    <n v="10"/>
    <n v="1777"/>
    <n v="17770"/>
    <n v="3116.78"/>
    <s v="UPI"/>
    <s v="2023-03-24"/>
    <x v="0"/>
    <x v="2"/>
    <n v="0.1753956105796286"/>
    <s v="Profit"/>
  </r>
  <r>
    <n v="4"/>
    <x v="2"/>
    <x v="0"/>
    <n v="3"/>
    <n v="785"/>
    <n v="2355"/>
    <n v="160.36000000000001"/>
    <s v="UPI"/>
    <s v="2023-02-14"/>
    <x v="0"/>
    <x v="3"/>
    <n v="6.8093418259023361E-2"/>
    <s v="Profit"/>
  </r>
  <r>
    <n v="5"/>
    <x v="2"/>
    <x v="2"/>
    <n v="10"/>
    <n v="1815"/>
    <n v="18150"/>
    <n v="4456.0200000000004"/>
    <s v="Card"/>
    <s v="2023-05-03"/>
    <x v="0"/>
    <x v="1"/>
    <n v="0.24551074380165291"/>
    <s v="Profit"/>
  </r>
  <r>
    <n v="6"/>
    <x v="3"/>
    <x v="1"/>
    <n v="10"/>
    <n v="630"/>
    <n v="6300"/>
    <n v="1435.55"/>
    <s v="Cash"/>
    <s v="2023-05-21"/>
    <x v="0"/>
    <x v="1"/>
    <n v="0.22786507936507935"/>
    <s v="Profit"/>
  </r>
  <r>
    <n v="7"/>
    <x v="3"/>
    <x v="1"/>
    <n v="7"/>
    <n v="133"/>
    <n v="931"/>
    <n v="179.06"/>
    <s v="UPI"/>
    <s v="2023-06-13"/>
    <x v="0"/>
    <x v="4"/>
    <n v="0.19233082706766919"/>
    <s v="Profit"/>
  </r>
  <r>
    <n v="8"/>
    <x v="1"/>
    <x v="2"/>
    <n v="3"/>
    <n v="1824"/>
    <n v="5472"/>
    <n v="1330.36"/>
    <s v="Card"/>
    <s v="2023-09-01"/>
    <x v="0"/>
    <x v="5"/>
    <n v="0.24312134502923974"/>
    <s v="Profit"/>
  </r>
  <r>
    <n v="9"/>
    <x v="4"/>
    <x v="0"/>
    <n v="10"/>
    <n v="673"/>
    <n v="6730"/>
    <n v="1848.18"/>
    <s v="Card"/>
    <s v="2023-07-11"/>
    <x v="0"/>
    <x v="6"/>
    <n v="0.27461812778603267"/>
    <s v="Profit"/>
  </r>
  <r>
    <n v="10"/>
    <x v="0"/>
    <x v="1"/>
    <n v="2"/>
    <n v="1464"/>
    <n v="2928"/>
    <n v="816.81"/>
    <s v="UPI"/>
    <s v="2023-10-04"/>
    <x v="0"/>
    <x v="0"/>
    <n v="0.27896516393442622"/>
    <s v="Profit"/>
  </r>
  <r>
    <n v="11"/>
    <x v="0"/>
    <x v="3"/>
    <n v="9"/>
    <n v="837"/>
    <n v="7533"/>
    <n v="1063.26"/>
    <s v="Card"/>
    <s v="2023-02-04"/>
    <x v="0"/>
    <x v="3"/>
    <n v="0.14114695340501793"/>
    <s v="Profit"/>
  </r>
  <r>
    <n v="12"/>
    <x v="0"/>
    <x v="0"/>
    <n v="2"/>
    <n v="1455"/>
    <n v="2910"/>
    <n v="868.78"/>
    <s v="Cash"/>
    <s v="2023-02-23"/>
    <x v="0"/>
    <x v="3"/>
    <n v="0.29854982817869413"/>
    <s v="Profit"/>
  </r>
  <r>
    <n v="13"/>
    <x v="2"/>
    <x v="3"/>
    <n v="2"/>
    <n v="602"/>
    <n v="1204"/>
    <n v="111.83"/>
    <s v="Card"/>
    <s v="2023-04-03"/>
    <x v="0"/>
    <x v="7"/>
    <n v="9.2882059800664454E-2"/>
    <s v="Profit"/>
  </r>
  <r>
    <n v="14"/>
    <x v="3"/>
    <x v="3"/>
    <n v="1"/>
    <n v="449"/>
    <n v="449"/>
    <n v="63.14"/>
    <s v="UPI"/>
    <s v="2023-09-08"/>
    <x v="0"/>
    <x v="5"/>
    <n v="0.14062360801781737"/>
    <s v="Profit"/>
  </r>
  <r>
    <n v="15"/>
    <x v="3"/>
    <x v="0"/>
    <n v="8"/>
    <n v="1882"/>
    <n v="15056"/>
    <n v="1287.78"/>
    <s v="Cash"/>
    <s v="2023-06-30"/>
    <x v="0"/>
    <x v="4"/>
    <n v="8.5532678002125398E-2"/>
    <s v="Profit"/>
  </r>
  <r>
    <n v="16"/>
    <x v="2"/>
    <x v="1"/>
    <n v="4"/>
    <n v="602"/>
    <n v="2408"/>
    <n v="176.03"/>
    <s v="Card"/>
    <s v="2023-12-07"/>
    <x v="0"/>
    <x v="8"/>
    <n v="7.3102159468438538E-2"/>
    <s v="Profit"/>
  </r>
  <r>
    <n v="17"/>
    <x v="0"/>
    <x v="1"/>
    <n v="10"/>
    <n v="1731"/>
    <n v="17310"/>
    <n v="1620.1"/>
    <s v="Card"/>
    <s v="2023-05-28"/>
    <x v="0"/>
    <x v="1"/>
    <n v="9.3593298671288266E-2"/>
    <s v="Profit"/>
  </r>
  <r>
    <n v="18"/>
    <x v="0"/>
    <x v="2"/>
    <n v="7"/>
    <n v="700"/>
    <n v="4900"/>
    <n v="1028.3599999999999"/>
    <s v="UPI"/>
    <s v="2023-02-10"/>
    <x v="0"/>
    <x v="3"/>
    <n v="0.20986938775510203"/>
    <s v="Profit"/>
  </r>
  <r>
    <n v="19"/>
    <x v="4"/>
    <x v="3"/>
    <n v="5"/>
    <n v="972"/>
    <n v="4860"/>
    <n v="1147.43"/>
    <s v="Card"/>
    <s v="2023-04-28"/>
    <x v="0"/>
    <x v="7"/>
    <n v="0.23609670781893005"/>
    <s v="Profit"/>
  </r>
  <r>
    <n v="20"/>
    <x v="1"/>
    <x v="0"/>
    <n v="3"/>
    <n v="587"/>
    <n v="1761"/>
    <n v="311.98"/>
    <s v="UPI"/>
    <s v="2023-12-31"/>
    <x v="0"/>
    <x v="8"/>
    <n v="0.17716070414537197"/>
    <s v="Profit"/>
  </r>
  <r>
    <n v="21"/>
    <x v="1"/>
    <x v="0"/>
    <n v="10"/>
    <n v="1031"/>
    <n v="10310"/>
    <n v="2881.75"/>
    <s v="Card"/>
    <s v="2023-07-15"/>
    <x v="0"/>
    <x v="6"/>
    <n v="0.27951018428709989"/>
    <s v="Profit"/>
  </r>
  <r>
    <n v="22"/>
    <x v="4"/>
    <x v="1"/>
    <n v="1"/>
    <n v="1572"/>
    <n v="1572"/>
    <n v="213.41"/>
    <s v="Card"/>
    <s v="2023-03-15"/>
    <x v="0"/>
    <x v="2"/>
    <n v="0.13575699745547073"/>
    <s v="Profit"/>
  </r>
  <r>
    <n v="23"/>
    <x v="3"/>
    <x v="3"/>
    <n v="4"/>
    <n v="859"/>
    <n v="3436"/>
    <n v="810.36"/>
    <s v="UPI"/>
    <s v="2023-06-03"/>
    <x v="0"/>
    <x v="4"/>
    <n v="0.23584400465657743"/>
    <s v="Profit"/>
  </r>
  <r>
    <n v="24"/>
    <x v="2"/>
    <x v="1"/>
    <n v="3"/>
    <n v="107"/>
    <n v="321"/>
    <n v="18.96"/>
    <s v="UPI"/>
    <s v="2023-05-08"/>
    <x v="0"/>
    <x v="1"/>
    <n v="5.9065420560747664E-2"/>
    <s v="Profit"/>
  </r>
  <r>
    <n v="25"/>
    <x v="0"/>
    <x v="2"/>
    <n v="10"/>
    <n v="485"/>
    <n v="4850"/>
    <n v="1326.58"/>
    <s v="Card"/>
    <s v="2023-10-11"/>
    <x v="0"/>
    <x v="0"/>
    <n v="0.27352164948453606"/>
    <s v="Profit"/>
  </r>
  <r>
    <n v="26"/>
    <x v="0"/>
    <x v="3"/>
    <n v="8"/>
    <n v="1262"/>
    <n v="10096"/>
    <n v="1328.94"/>
    <s v="Card"/>
    <s v="2023-11-17"/>
    <x v="0"/>
    <x v="9"/>
    <n v="0.13163034865293186"/>
    <s v="Profit"/>
  </r>
  <r>
    <n v="27"/>
    <x v="3"/>
    <x v="0"/>
    <n v="6"/>
    <n v="907"/>
    <n v="5442"/>
    <n v="1407.1"/>
    <s v="Card"/>
    <s v="2023-11-18"/>
    <x v="0"/>
    <x v="9"/>
    <n v="0.25856302829841971"/>
    <s v="Profit"/>
  </r>
  <r>
    <n v="28"/>
    <x v="2"/>
    <x v="1"/>
    <n v="6"/>
    <n v="188"/>
    <n v="1128"/>
    <n v="252.16"/>
    <s v="Cash"/>
    <s v="2023-05-17"/>
    <x v="0"/>
    <x v="1"/>
    <n v="0.22354609929078015"/>
    <s v="Profit"/>
  </r>
  <r>
    <n v="29"/>
    <x v="1"/>
    <x v="3"/>
    <n v="1"/>
    <n v="1146"/>
    <n v="1146"/>
    <n v="290.2"/>
    <s v="UPI"/>
    <s v="2023-08-03"/>
    <x v="0"/>
    <x v="10"/>
    <n v="0.25322862129144852"/>
    <s v="Profit"/>
  </r>
  <r>
    <n v="30"/>
    <x v="1"/>
    <x v="1"/>
    <n v="3"/>
    <n v="403"/>
    <n v="1209"/>
    <n v="229.32"/>
    <s v="UPI"/>
    <s v="2023-04-29"/>
    <x v="0"/>
    <x v="7"/>
    <n v="0.1896774193548387"/>
    <s v="Profit"/>
  </r>
  <r>
    <n v="31"/>
    <x v="3"/>
    <x v="3"/>
    <n v="5"/>
    <n v="1881"/>
    <n v="9405"/>
    <n v="1250.24"/>
    <s v="UPI"/>
    <s v="2023-05-03"/>
    <x v="0"/>
    <x v="1"/>
    <n v="0.13293354598617757"/>
    <s v="Profit"/>
  </r>
  <r>
    <n v="32"/>
    <x v="1"/>
    <x v="3"/>
    <n v="10"/>
    <n v="1087"/>
    <n v="10870"/>
    <n v="2177.64"/>
    <s v="Card"/>
    <s v="2023-01-02"/>
    <x v="0"/>
    <x v="11"/>
    <n v="0.20033486660533578"/>
    <s v="Profit"/>
  </r>
  <r>
    <n v="33"/>
    <x v="4"/>
    <x v="1"/>
    <n v="3"/>
    <n v="1426"/>
    <n v="4278"/>
    <n v="441.2"/>
    <s v="Card"/>
    <s v="2023-07-09"/>
    <x v="0"/>
    <x v="6"/>
    <n v="0.10313230481533427"/>
    <s v="Profit"/>
  </r>
  <r>
    <n v="34"/>
    <x v="2"/>
    <x v="2"/>
    <n v="8"/>
    <n v="730"/>
    <n v="5840"/>
    <n v="1659.8"/>
    <s v="Card"/>
    <s v="2023-01-25"/>
    <x v="0"/>
    <x v="11"/>
    <n v="0.28421232876712327"/>
    <s v="Profit"/>
  </r>
  <r>
    <n v="35"/>
    <x v="4"/>
    <x v="0"/>
    <n v="3"/>
    <n v="783"/>
    <n v="2349"/>
    <n v="483.69"/>
    <s v="Cash"/>
    <s v="2023-05-08"/>
    <x v="0"/>
    <x v="1"/>
    <n v="0.20591315453384418"/>
    <s v="Profit"/>
  </r>
  <r>
    <n v="36"/>
    <x v="2"/>
    <x v="1"/>
    <n v="9"/>
    <n v="883"/>
    <n v="7947"/>
    <n v="1028.19"/>
    <s v="UPI"/>
    <s v="2023-09-27"/>
    <x v="0"/>
    <x v="5"/>
    <n v="0.12938089845224612"/>
    <s v="Profit"/>
  </r>
  <r>
    <n v="37"/>
    <x v="4"/>
    <x v="0"/>
    <n v="3"/>
    <n v="640"/>
    <n v="1920"/>
    <n v="222.8"/>
    <s v="UPI"/>
    <s v="2023-06-24"/>
    <x v="0"/>
    <x v="4"/>
    <n v="0.11604166666666667"/>
    <s v="Profit"/>
  </r>
  <r>
    <n v="38"/>
    <x v="3"/>
    <x v="2"/>
    <n v="10"/>
    <n v="466"/>
    <n v="4660"/>
    <n v="1012.06"/>
    <s v="Cash"/>
    <s v="2023-06-22"/>
    <x v="0"/>
    <x v="4"/>
    <n v="0.21718025751072961"/>
    <s v="Profit"/>
  </r>
  <r>
    <n v="39"/>
    <x v="1"/>
    <x v="2"/>
    <n v="2"/>
    <n v="261"/>
    <n v="522"/>
    <n v="96.53"/>
    <s v="Cash"/>
    <s v="2023-08-13"/>
    <x v="0"/>
    <x v="10"/>
    <n v="0.18492337164750958"/>
    <s v="Profit"/>
  </r>
  <r>
    <n v="40"/>
    <x v="4"/>
    <x v="3"/>
    <n v="9"/>
    <n v="1956"/>
    <n v="17604"/>
    <n v="4456.53"/>
    <s v="UPI"/>
    <s v="2023-07-09"/>
    <x v="0"/>
    <x v="6"/>
    <n v="0.25315439672801637"/>
    <s v="Profit"/>
  </r>
  <r>
    <n v="41"/>
    <x v="2"/>
    <x v="3"/>
    <n v="1"/>
    <n v="1580"/>
    <n v="1580"/>
    <n v="427.52"/>
    <s v="Card"/>
    <s v="2023-02-04"/>
    <x v="0"/>
    <x v="3"/>
    <n v="0.27058227848101263"/>
    <s v="Profit"/>
  </r>
  <r>
    <n v="42"/>
    <x v="2"/>
    <x v="3"/>
    <n v="3"/>
    <n v="809"/>
    <n v="2427"/>
    <n v="587.78"/>
    <s v="UPI"/>
    <s v="2023-11-19"/>
    <x v="0"/>
    <x v="9"/>
    <n v="0.24218376596621341"/>
    <s v="Profit"/>
  </r>
  <r>
    <n v="43"/>
    <x v="2"/>
    <x v="0"/>
    <n v="10"/>
    <n v="154"/>
    <n v="1540"/>
    <n v="106.94"/>
    <s v="UPI"/>
    <s v="2023-12-20"/>
    <x v="0"/>
    <x v="8"/>
    <n v="6.9441558441558443E-2"/>
    <s v="Profit"/>
  </r>
  <r>
    <n v="44"/>
    <x v="1"/>
    <x v="1"/>
    <n v="7"/>
    <n v="1644"/>
    <n v="11508"/>
    <n v="1210.03"/>
    <s v="Card"/>
    <s v="2023-12-10"/>
    <x v="0"/>
    <x v="8"/>
    <n v="0.10514685436218282"/>
    <s v="Profit"/>
  </r>
  <r>
    <n v="45"/>
    <x v="4"/>
    <x v="1"/>
    <n v="2"/>
    <n v="569"/>
    <n v="1138"/>
    <n v="69.48"/>
    <s v="Cash"/>
    <s v="2023-01-05"/>
    <x v="0"/>
    <x v="11"/>
    <n v="6.105448154657294E-2"/>
    <s v="Profit"/>
  </r>
  <r>
    <n v="46"/>
    <x v="1"/>
    <x v="2"/>
    <n v="9"/>
    <n v="1700"/>
    <n v="15300"/>
    <n v="2708.77"/>
    <s v="UPI"/>
    <s v="2023-09-25"/>
    <x v="0"/>
    <x v="5"/>
    <n v="0.1770437908496732"/>
    <s v="Profit"/>
  </r>
  <r>
    <n v="47"/>
    <x v="3"/>
    <x v="0"/>
    <n v="10"/>
    <n v="733"/>
    <n v="7330"/>
    <n v="1117.48"/>
    <s v="Cash"/>
    <s v="2023-03-06"/>
    <x v="0"/>
    <x v="2"/>
    <n v="0.15245293315143246"/>
    <s v="Profit"/>
  </r>
  <r>
    <n v="48"/>
    <x v="0"/>
    <x v="2"/>
    <n v="3"/>
    <n v="314"/>
    <n v="942"/>
    <n v="76.02"/>
    <s v="Card"/>
    <s v="2023-07-22"/>
    <x v="0"/>
    <x v="6"/>
    <n v="8.0700636942675152E-2"/>
    <s v="Profit"/>
  </r>
  <r>
    <n v="49"/>
    <x v="2"/>
    <x v="1"/>
    <n v="5"/>
    <n v="438"/>
    <n v="2190"/>
    <n v="182.86"/>
    <s v="UPI"/>
    <s v="2023-05-23"/>
    <x v="0"/>
    <x v="1"/>
    <n v="8.3497716894977175E-2"/>
    <s v="Profit"/>
  </r>
  <r>
    <n v="50"/>
    <x v="2"/>
    <x v="1"/>
    <n v="10"/>
    <n v="1543"/>
    <n v="15430"/>
    <n v="3179.76"/>
    <s v="UPI"/>
    <s v="2023-08-30"/>
    <x v="0"/>
    <x v="10"/>
    <n v="0.20607647440051849"/>
    <s v="Profit"/>
  </r>
  <r>
    <n v="51"/>
    <x v="4"/>
    <x v="0"/>
    <n v="8"/>
    <n v="1487"/>
    <n v="11896"/>
    <n v="2758.63"/>
    <s v="UPI"/>
    <s v="2023-01-09"/>
    <x v="0"/>
    <x v="11"/>
    <n v="0.23189559515803632"/>
    <s v="Profit"/>
  </r>
  <r>
    <n v="52"/>
    <x v="3"/>
    <x v="1"/>
    <n v="1"/>
    <n v="851"/>
    <n v="851"/>
    <n v="123.53"/>
    <s v="Card"/>
    <s v="2023-12-06"/>
    <x v="0"/>
    <x v="8"/>
    <n v="0.14515863689776734"/>
    <s v="Profit"/>
  </r>
  <r>
    <n v="53"/>
    <x v="4"/>
    <x v="2"/>
    <n v="3"/>
    <n v="963"/>
    <n v="2889"/>
    <n v="416.5"/>
    <s v="Card"/>
    <s v="2023-11-26"/>
    <x v="0"/>
    <x v="9"/>
    <n v="0.14416753201799931"/>
    <s v="Profit"/>
  </r>
  <r>
    <n v="54"/>
    <x v="0"/>
    <x v="0"/>
    <n v="1"/>
    <n v="1645"/>
    <n v="1645"/>
    <n v="394.61"/>
    <s v="Card"/>
    <s v="2023-03-21"/>
    <x v="0"/>
    <x v="2"/>
    <n v="0.23988449848024318"/>
    <s v="Profit"/>
  </r>
  <r>
    <n v="55"/>
    <x v="2"/>
    <x v="3"/>
    <n v="2"/>
    <n v="350"/>
    <n v="700"/>
    <n v="120.3"/>
    <s v="UPI"/>
    <s v="2023-06-15"/>
    <x v="0"/>
    <x v="4"/>
    <n v="0.17185714285714285"/>
    <s v="Profit"/>
  </r>
  <r>
    <n v="56"/>
    <x v="1"/>
    <x v="1"/>
    <n v="8"/>
    <n v="664"/>
    <n v="5312"/>
    <n v="1465.62"/>
    <s v="Card"/>
    <s v="2023-07-06"/>
    <x v="0"/>
    <x v="6"/>
    <n v="0.27590737951807226"/>
    <s v="Profit"/>
  </r>
  <r>
    <n v="57"/>
    <x v="2"/>
    <x v="1"/>
    <n v="1"/>
    <n v="537"/>
    <n v="537"/>
    <n v="79.430000000000007"/>
    <s v="Cash"/>
    <s v="2023-03-07"/>
    <x v="0"/>
    <x v="2"/>
    <n v="0.14791433891992553"/>
    <s v="Profit"/>
  </r>
  <r>
    <n v="58"/>
    <x v="0"/>
    <x v="0"/>
    <n v="6"/>
    <n v="1267"/>
    <n v="7602"/>
    <n v="1944.16"/>
    <s v="Cash"/>
    <s v="2023-08-14"/>
    <x v="0"/>
    <x v="10"/>
    <n v="0.25574322546698236"/>
    <s v="Profit"/>
  </r>
  <r>
    <n v="59"/>
    <x v="4"/>
    <x v="2"/>
    <n v="7"/>
    <n v="244"/>
    <n v="1708"/>
    <n v="176.48"/>
    <s v="Cash"/>
    <s v="2023-11-23"/>
    <x v="0"/>
    <x v="9"/>
    <n v="0.1033255269320843"/>
    <s v="Profit"/>
  </r>
  <r>
    <n v="60"/>
    <x v="3"/>
    <x v="0"/>
    <n v="4"/>
    <n v="1462"/>
    <n v="5848"/>
    <n v="744.47"/>
    <s v="Cash"/>
    <s v="2023-08-25"/>
    <x v="0"/>
    <x v="10"/>
    <n v="0.12730335157318742"/>
    <s v="Profit"/>
  </r>
  <r>
    <n v="61"/>
    <x v="1"/>
    <x v="3"/>
    <n v="7"/>
    <n v="1287"/>
    <n v="9009"/>
    <n v="1468.16"/>
    <s v="Card"/>
    <s v="2023-04-27"/>
    <x v="0"/>
    <x v="7"/>
    <n v="0.16296592296592297"/>
    <s v="Profit"/>
  </r>
  <r>
    <n v="62"/>
    <x v="0"/>
    <x v="3"/>
    <n v="5"/>
    <n v="466"/>
    <n v="2330"/>
    <n v="425.65"/>
    <s v="Card"/>
    <s v="2023-07-26"/>
    <x v="0"/>
    <x v="6"/>
    <n v="0.18268240343347639"/>
    <s v="Profit"/>
  </r>
  <r>
    <n v="63"/>
    <x v="2"/>
    <x v="1"/>
    <n v="2"/>
    <n v="1686"/>
    <n v="3372"/>
    <n v="933.74"/>
    <s v="Cash"/>
    <s v="2023-04-11"/>
    <x v="0"/>
    <x v="7"/>
    <n v="0.27690984578884936"/>
    <s v="Profit"/>
  </r>
  <r>
    <n v="64"/>
    <x v="3"/>
    <x v="3"/>
    <n v="1"/>
    <n v="1788"/>
    <n v="1788"/>
    <n v="129.28"/>
    <s v="Card"/>
    <s v="2024-01-01"/>
    <x v="1"/>
    <x v="11"/>
    <n v="7.2304250559284119E-2"/>
    <s v="Profit"/>
  </r>
  <r>
    <n v="65"/>
    <x v="2"/>
    <x v="0"/>
    <n v="4"/>
    <n v="1120"/>
    <n v="4480"/>
    <n v="732.63"/>
    <s v="UPI"/>
    <s v="2023-05-15"/>
    <x v="0"/>
    <x v="1"/>
    <n v="0.16353348214285715"/>
    <s v="Profit"/>
  </r>
  <r>
    <n v="66"/>
    <x v="3"/>
    <x v="3"/>
    <n v="4"/>
    <n v="1456"/>
    <n v="5824"/>
    <n v="908.05"/>
    <s v="UPI"/>
    <s v="2023-10-28"/>
    <x v="0"/>
    <x v="0"/>
    <n v="0.15591517857142856"/>
    <s v="Profit"/>
  </r>
  <r>
    <n v="67"/>
    <x v="0"/>
    <x v="1"/>
    <n v="2"/>
    <n v="942"/>
    <n v="1884"/>
    <n v="215.87"/>
    <s v="UPI"/>
    <s v="2023-05-06"/>
    <x v="0"/>
    <x v="1"/>
    <n v="0.11458067940552018"/>
    <s v="Profit"/>
  </r>
  <r>
    <n v="68"/>
    <x v="3"/>
    <x v="3"/>
    <n v="7"/>
    <n v="1855"/>
    <n v="12985"/>
    <n v="3872.5"/>
    <s v="Card"/>
    <s v="2023-04-24"/>
    <x v="0"/>
    <x v="7"/>
    <n v="0.29822872545244511"/>
    <s v="Profit"/>
  </r>
  <r>
    <n v="69"/>
    <x v="2"/>
    <x v="3"/>
    <n v="5"/>
    <n v="1007"/>
    <n v="5035"/>
    <n v="543.96"/>
    <s v="Cash"/>
    <s v="2023-07-11"/>
    <x v="0"/>
    <x v="6"/>
    <n v="0.10803574975173784"/>
    <s v="Profit"/>
  </r>
  <r>
    <n v="70"/>
    <x v="1"/>
    <x v="2"/>
    <n v="8"/>
    <n v="422"/>
    <n v="3376"/>
    <n v="241.86"/>
    <s v="UPI"/>
    <s v="2023-12-12"/>
    <x v="0"/>
    <x v="8"/>
    <n v="7.1640995260663518E-2"/>
    <s v="Profit"/>
  </r>
  <r>
    <n v="71"/>
    <x v="2"/>
    <x v="3"/>
    <n v="1"/>
    <n v="1122"/>
    <n v="1122"/>
    <n v="268.49"/>
    <s v="Card"/>
    <s v="2023-01-23"/>
    <x v="0"/>
    <x v="11"/>
    <n v="0.23929590017825314"/>
    <s v="Profit"/>
  </r>
  <r>
    <n v="72"/>
    <x v="2"/>
    <x v="0"/>
    <n v="1"/>
    <n v="615"/>
    <n v="615"/>
    <n v="38.5"/>
    <s v="Card"/>
    <s v="2023-01-24"/>
    <x v="0"/>
    <x v="11"/>
    <n v="6.2601626016260167E-2"/>
    <s v="Profit"/>
  </r>
  <r>
    <n v="73"/>
    <x v="1"/>
    <x v="1"/>
    <n v="2"/>
    <n v="897"/>
    <n v="1794"/>
    <n v="443.33"/>
    <s v="UPI"/>
    <s v="2023-01-05"/>
    <x v="0"/>
    <x v="11"/>
    <n v="0.24711817168338907"/>
    <s v="Profit"/>
  </r>
  <r>
    <n v="74"/>
    <x v="0"/>
    <x v="3"/>
    <n v="8"/>
    <n v="1867"/>
    <n v="14936"/>
    <n v="2211.38"/>
    <s v="Card"/>
    <s v="2023-12-04"/>
    <x v="0"/>
    <x v="8"/>
    <n v="0.1480570433851098"/>
    <s v="Profit"/>
  </r>
  <r>
    <n v="75"/>
    <x v="3"/>
    <x v="3"/>
    <n v="6"/>
    <n v="1314"/>
    <n v="7884"/>
    <n v="644.16"/>
    <s v="Card"/>
    <s v="2023-02-22"/>
    <x v="0"/>
    <x v="3"/>
    <n v="8.1704718417047184E-2"/>
    <s v="Profit"/>
  </r>
  <r>
    <n v="76"/>
    <x v="2"/>
    <x v="1"/>
    <n v="10"/>
    <n v="819"/>
    <n v="8190"/>
    <n v="2031.26"/>
    <s v="UPI"/>
    <s v="2023-08-22"/>
    <x v="0"/>
    <x v="10"/>
    <n v="0.24801709401709401"/>
    <s v="Profit"/>
  </r>
  <r>
    <n v="77"/>
    <x v="2"/>
    <x v="3"/>
    <n v="8"/>
    <n v="1494"/>
    <n v="11952"/>
    <n v="3506.23"/>
    <s v="Card"/>
    <s v="2023-10-02"/>
    <x v="0"/>
    <x v="0"/>
    <n v="0.29335927041499332"/>
    <s v="Profit"/>
  </r>
  <r>
    <n v="78"/>
    <x v="2"/>
    <x v="1"/>
    <n v="10"/>
    <n v="1946"/>
    <n v="19460"/>
    <n v="4003.2"/>
    <s v="UPI"/>
    <s v="2023-12-30"/>
    <x v="0"/>
    <x v="8"/>
    <n v="0.20571428571428571"/>
    <s v="Profit"/>
  </r>
  <r>
    <n v="79"/>
    <x v="0"/>
    <x v="1"/>
    <n v="6"/>
    <n v="820"/>
    <n v="4920"/>
    <n v="1284.5899999999999"/>
    <s v="UPI"/>
    <s v="2023-08-25"/>
    <x v="0"/>
    <x v="10"/>
    <n v="0.26109552845528455"/>
    <s v="Profit"/>
  </r>
  <r>
    <n v="80"/>
    <x v="2"/>
    <x v="3"/>
    <n v="7"/>
    <n v="691"/>
    <n v="4837"/>
    <n v="970.62"/>
    <s v="Card"/>
    <s v="2023-06-01"/>
    <x v="0"/>
    <x v="4"/>
    <n v="0.2006657018813314"/>
    <s v="Profit"/>
  </r>
  <r>
    <n v="81"/>
    <x v="1"/>
    <x v="1"/>
    <n v="5"/>
    <n v="1466"/>
    <n v="7330"/>
    <n v="2069.44"/>
    <s v="UPI"/>
    <s v="2023-01-03"/>
    <x v="0"/>
    <x v="11"/>
    <n v="0.28232469304229196"/>
    <s v="Profit"/>
  </r>
  <r>
    <n v="82"/>
    <x v="3"/>
    <x v="2"/>
    <n v="1"/>
    <n v="1375"/>
    <n v="1375"/>
    <n v="338.68"/>
    <s v="Card"/>
    <s v="2023-06-19"/>
    <x v="0"/>
    <x v="4"/>
    <n v="0.24631272727272727"/>
    <s v="Profit"/>
  </r>
  <r>
    <n v="83"/>
    <x v="2"/>
    <x v="1"/>
    <n v="4"/>
    <n v="557"/>
    <n v="2228"/>
    <n v="665.28"/>
    <s v="UPI"/>
    <s v="2023-10-05"/>
    <x v="0"/>
    <x v="0"/>
    <n v="0.29859964093357272"/>
    <s v="Profit"/>
  </r>
  <r>
    <n v="84"/>
    <x v="2"/>
    <x v="1"/>
    <n v="9"/>
    <n v="1589"/>
    <n v="14301"/>
    <n v="3346.12"/>
    <s v="Card"/>
    <s v="2023-05-30"/>
    <x v="0"/>
    <x v="1"/>
    <n v="0.23397804349346199"/>
    <s v="Profit"/>
  </r>
  <r>
    <n v="85"/>
    <x v="2"/>
    <x v="0"/>
    <n v="7"/>
    <n v="1711"/>
    <n v="11977"/>
    <n v="3512.62"/>
    <s v="UPI"/>
    <s v="2023-10-01"/>
    <x v="0"/>
    <x v="0"/>
    <n v="0.29328045420389076"/>
    <s v="Profit"/>
  </r>
  <r>
    <n v="86"/>
    <x v="2"/>
    <x v="1"/>
    <n v="1"/>
    <n v="1500"/>
    <n v="1500"/>
    <n v="297.41000000000003"/>
    <s v="Cash"/>
    <s v="2023-10-09"/>
    <x v="0"/>
    <x v="0"/>
    <n v="0.19827333333333336"/>
    <s v="Profit"/>
  </r>
  <r>
    <n v="87"/>
    <x v="4"/>
    <x v="2"/>
    <n v="10"/>
    <n v="1815"/>
    <n v="18150"/>
    <n v="4888.63"/>
    <s v="UPI"/>
    <s v="2023-09-28"/>
    <x v="0"/>
    <x v="5"/>
    <n v="0.26934600550964188"/>
    <s v="Profit"/>
  </r>
  <r>
    <n v="88"/>
    <x v="1"/>
    <x v="0"/>
    <n v="1"/>
    <n v="1641"/>
    <n v="1641"/>
    <n v="178.94"/>
    <s v="UPI"/>
    <s v="2023-04-15"/>
    <x v="0"/>
    <x v="7"/>
    <n v="0.10904326630103595"/>
    <s v="Profit"/>
  </r>
  <r>
    <n v="89"/>
    <x v="1"/>
    <x v="2"/>
    <n v="6"/>
    <n v="720"/>
    <n v="4320"/>
    <n v="870.43"/>
    <s v="Cash"/>
    <s v="2023-11-24"/>
    <x v="0"/>
    <x v="9"/>
    <n v="0.20148842592592592"/>
    <s v="Profit"/>
  </r>
  <r>
    <n v="90"/>
    <x v="4"/>
    <x v="3"/>
    <n v="7"/>
    <n v="1384"/>
    <n v="9688"/>
    <n v="1045.01"/>
    <s v="UPI"/>
    <s v="2023-10-30"/>
    <x v="0"/>
    <x v="0"/>
    <n v="0.10786643270024773"/>
    <s v="Profit"/>
  </r>
  <r>
    <n v="91"/>
    <x v="2"/>
    <x v="0"/>
    <n v="2"/>
    <n v="1466"/>
    <n v="2932"/>
    <n v="209.67"/>
    <s v="Card"/>
    <s v="2023-07-28"/>
    <x v="0"/>
    <x v="6"/>
    <n v="7.1510914051841748E-2"/>
    <s v="Profit"/>
  </r>
  <r>
    <n v="92"/>
    <x v="2"/>
    <x v="2"/>
    <n v="2"/>
    <n v="155"/>
    <n v="310"/>
    <n v="16.41"/>
    <s v="Cash"/>
    <s v="2023-05-29"/>
    <x v="0"/>
    <x v="1"/>
    <n v="5.2935483870967741E-2"/>
    <s v="Profit"/>
  </r>
  <r>
    <n v="93"/>
    <x v="0"/>
    <x v="3"/>
    <n v="7"/>
    <n v="942"/>
    <n v="6594"/>
    <n v="623.28"/>
    <s v="UPI"/>
    <s v="2023-09-26"/>
    <x v="0"/>
    <x v="5"/>
    <n v="9.4522292993630574E-2"/>
    <s v="Profit"/>
  </r>
  <r>
    <n v="94"/>
    <x v="3"/>
    <x v="3"/>
    <n v="3"/>
    <n v="1851"/>
    <n v="5553"/>
    <n v="1588.89"/>
    <s v="UPI"/>
    <s v="2023-04-13"/>
    <x v="0"/>
    <x v="7"/>
    <n v="0.28613182063749326"/>
    <s v="Profit"/>
  </r>
  <r>
    <n v="95"/>
    <x v="0"/>
    <x v="3"/>
    <n v="8"/>
    <n v="857"/>
    <n v="6856"/>
    <n v="1123.26"/>
    <s v="Card"/>
    <s v="2023-02-15"/>
    <x v="0"/>
    <x v="3"/>
    <n v="0.1638360560093349"/>
    <s v="Profit"/>
  </r>
  <r>
    <n v="96"/>
    <x v="0"/>
    <x v="3"/>
    <n v="5"/>
    <n v="1906"/>
    <n v="9530"/>
    <n v="1959.24"/>
    <s v="UPI"/>
    <s v="2023-08-11"/>
    <x v="0"/>
    <x v="10"/>
    <n v="0.2055865687303253"/>
    <s v="Profit"/>
  </r>
  <r>
    <n v="97"/>
    <x v="2"/>
    <x v="2"/>
    <n v="9"/>
    <n v="1467"/>
    <n v="13203"/>
    <n v="1726.11"/>
    <s v="Cash"/>
    <s v="2023-02-05"/>
    <x v="0"/>
    <x v="3"/>
    <n v="0.13073619631901839"/>
    <s v="Profit"/>
  </r>
  <r>
    <n v="98"/>
    <x v="0"/>
    <x v="1"/>
    <n v="1"/>
    <n v="810"/>
    <n v="810"/>
    <n v="119.97"/>
    <s v="UPI"/>
    <s v="2023-07-16"/>
    <x v="0"/>
    <x v="6"/>
    <n v="0.14811111111111111"/>
    <s v="Profit"/>
  </r>
  <r>
    <n v="99"/>
    <x v="1"/>
    <x v="3"/>
    <n v="4"/>
    <n v="1403"/>
    <n v="5612"/>
    <n v="1660.37"/>
    <s v="UPI"/>
    <s v="2023-07-01"/>
    <x v="0"/>
    <x v="6"/>
    <n v="0.29586065573770493"/>
    <s v="Profit"/>
  </r>
  <r>
    <n v="100"/>
    <x v="4"/>
    <x v="2"/>
    <n v="8"/>
    <n v="438"/>
    <n v="3504"/>
    <n v="1008.66"/>
    <s v="Card"/>
    <s v="2023-12-12"/>
    <x v="0"/>
    <x v="8"/>
    <n v="0.28785958904109588"/>
    <s v="Profit"/>
  </r>
  <r>
    <n v="101"/>
    <x v="4"/>
    <x v="1"/>
    <n v="6"/>
    <n v="1412"/>
    <n v="8472"/>
    <n v="1464.29"/>
    <s v="Card"/>
    <s v="2023-11-11"/>
    <x v="0"/>
    <x v="9"/>
    <n v="0.17283876298394713"/>
    <s v="Profit"/>
  </r>
  <r>
    <n v="102"/>
    <x v="2"/>
    <x v="2"/>
    <n v="2"/>
    <n v="1291"/>
    <n v="2582"/>
    <n v="537.66"/>
    <s v="Card"/>
    <s v="2023-02-02"/>
    <x v="0"/>
    <x v="3"/>
    <n v="0.20823392718822617"/>
    <s v="Profit"/>
  </r>
  <r>
    <n v="103"/>
    <x v="3"/>
    <x v="0"/>
    <n v="5"/>
    <n v="1786"/>
    <n v="8930"/>
    <n v="2555.15"/>
    <s v="Card"/>
    <s v="2023-01-12"/>
    <x v="0"/>
    <x v="11"/>
    <n v="0.28613101903695409"/>
    <s v="Profit"/>
  </r>
  <r>
    <n v="104"/>
    <x v="4"/>
    <x v="3"/>
    <n v="3"/>
    <n v="230"/>
    <n v="690"/>
    <n v="118.1"/>
    <s v="Cash"/>
    <s v="2023-12-17"/>
    <x v="0"/>
    <x v="8"/>
    <n v="0.17115942028985506"/>
    <s v="Profit"/>
  </r>
  <r>
    <n v="105"/>
    <x v="2"/>
    <x v="1"/>
    <n v="7"/>
    <n v="1661"/>
    <n v="11627"/>
    <n v="2980.67"/>
    <s v="Cash"/>
    <s v="2023-11-26"/>
    <x v="0"/>
    <x v="9"/>
    <n v="0.25635761589403971"/>
    <s v="Profit"/>
  </r>
  <r>
    <n v="106"/>
    <x v="4"/>
    <x v="3"/>
    <n v="8"/>
    <n v="500"/>
    <n v="4000"/>
    <n v="1106.26"/>
    <s v="UPI"/>
    <s v="2023-05-27"/>
    <x v="0"/>
    <x v="1"/>
    <n v="0.27656500000000001"/>
    <s v="Profit"/>
  </r>
  <r>
    <n v="107"/>
    <x v="2"/>
    <x v="2"/>
    <n v="1"/>
    <n v="257"/>
    <n v="257"/>
    <n v="75.849999999999994"/>
    <s v="UPI"/>
    <s v="2023-06-25"/>
    <x v="0"/>
    <x v="4"/>
    <n v="0.29513618677042797"/>
    <s v="Profit"/>
  </r>
  <r>
    <n v="108"/>
    <x v="4"/>
    <x v="2"/>
    <n v="9"/>
    <n v="102"/>
    <n v="918"/>
    <n v="93.3"/>
    <s v="UPI"/>
    <s v="2023-01-02"/>
    <x v="0"/>
    <x v="11"/>
    <n v="0.10163398692810457"/>
    <s v="Profit"/>
  </r>
  <r>
    <n v="109"/>
    <x v="3"/>
    <x v="1"/>
    <n v="7"/>
    <n v="1258"/>
    <n v="8806"/>
    <n v="2583.02"/>
    <s v="UPI"/>
    <s v="2023-05-03"/>
    <x v="0"/>
    <x v="1"/>
    <n v="0.29332500567794684"/>
    <s v="Profit"/>
  </r>
  <r>
    <n v="110"/>
    <x v="1"/>
    <x v="2"/>
    <n v="3"/>
    <n v="837"/>
    <n v="2511"/>
    <n v="448.48"/>
    <s v="Cash"/>
    <s v="2023-08-11"/>
    <x v="0"/>
    <x v="10"/>
    <n v="0.17860613301473519"/>
    <s v="Profit"/>
  </r>
  <r>
    <n v="111"/>
    <x v="4"/>
    <x v="2"/>
    <n v="3"/>
    <n v="1948"/>
    <n v="5844"/>
    <n v="927.38"/>
    <s v="Card"/>
    <s v="2023-05-10"/>
    <x v="0"/>
    <x v="1"/>
    <n v="0.1586892539356605"/>
    <s v="Profit"/>
  </r>
  <r>
    <n v="112"/>
    <x v="1"/>
    <x v="0"/>
    <n v="3"/>
    <n v="1571"/>
    <n v="4713"/>
    <n v="764.9"/>
    <s v="Cash"/>
    <s v="2023-11-19"/>
    <x v="0"/>
    <x v="9"/>
    <n v="0.16229577763632505"/>
    <s v="Profit"/>
  </r>
  <r>
    <n v="113"/>
    <x v="3"/>
    <x v="0"/>
    <n v="1"/>
    <n v="1500"/>
    <n v="1500"/>
    <n v="276.77999999999997"/>
    <s v="Card"/>
    <s v="2023-06-09"/>
    <x v="0"/>
    <x v="4"/>
    <n v="0.18451999999999999"/>
    <s v="Profit"/>
  </r>
  <r>
    <n v="114"/>
    <x v="0"/>
    <x v="2"/>
    <n v="5"/>
    <n v="1286"/>
    <n v="6430"/>
    <n v="1371.88"/>
    <s v="UPI"/>
    <s v="2023-01-15"/>
    <x v="0"/>
    <x v="11"/>
    <n v="0.21335614307931572"/>
    <s v="Profit"/>
  </r>
  <r>
    <n v="115"/>
    <x v="3"/>
    <x v="2"/>
    <n v="10"/>
    <n v="769"/>
    <n v="7690"/>
    <n v="631.85"/>
    <s v="Card"/>
    <s v="2023-12-15"/>
    <x v="0"/>
    <x v="8"/>
    <n v="8.2165149544863467E-2"/>
    <s v="Profit"/>
  </r>
  <r>
    <n v="116"/>
    <x v="1"/>
    <x v="3"/>
    <n v="8"/>
    <n v="1685"/>
    <n v="13480"/>
    <n v="2273.73"/>
    <s v="Card"/>
    <s v="2023-01-23"/>
    <x v="0"/>
    <x v="11"/>
    <n v="0.16867433234421364"/>
    <s v="Profit"/>
  </r>
  <r>
    <n v="117"/>
    <x v="0"/>
    <x v="3"/>
    <n v="6"/>
    <n v="325"/>
    <n v="1950"/>
    <n v="261.87"/>
    <s v="Cash"/>
    <s v="2023-12-15"/>
    <x v="0"/>
    <x v="8"/>
    <n v="0.13429230769230768"/>
    <s v="Profit"/>
  </r>
  <r>
    <n v="118"/>
    <x v="1"/>
    <x v="2"/>
    <n v="9"/>
    <n v="1675"/>
    <n v="15075"/>
    <n v="1317.13"/>
    <s v="Cash"/>
    <s v="2023-12-13"/>
    <x v="0"/>
    <x v="8"/>
    <n v="8.7371807628524048E-2"/>
    <s v="Profit"/>
  </r>
  <r>
    <n v="119"/>
    <x v="4"/>
    <x v="1"/>
    <n v="4"/>
    <n v="1596"/>
    <n v="6384"/>
    <n v="1215.55"/>
    <s v="UPI"/>
    <s v="2023-12-23"/>
    <x v="0"/>
    <x v="8"/>
    <n v="0.19040570175438595"/>
    <s v="Profit"/>
  </r>
  <r>
    <n v="120"/>
    <x v="4"/>
    <x v="2"/>
    <n v="8"/>
    <n v="994"/>
    <n v="7952"/>
    <n v="1764.73"/>
    <s v="Cash"/>
    <s v="2023-08-25"/>
    <x v="0"/>
    <x v="10"/>
    <n v="0.22192278672032192"/>
    <s v="Profit"/>
  </r>
  <r>
    <n v="121"/>
    <x v="1"/>
    <x v="2"/>
    <n v="3"/>
    <n v="1965"/>
    <n v="5895"/>
    <n v="558.28"/>
    <s v="Cash"/>
    <s v="2023-08-03"/>
    <x v="0"/>
    <x v="10"/>
    <n v="9.4703986429177267E-2"/>
    <s v="Profit"/>
  </r>
  <r>
    <n v="122"/>
    <x v="1"/>
    <x v="1"/>
    <n v="5"/>
    <n v="1580"/>
    <n v="7900"/>
    <n v="1038.74"/>
    <s v="UPI"/>
    <s v="2023-01-08"/>
    <x v="0"/>
    <x v="11"/>
    <n v="0.13148607594936709"/>
    <s v="Profit"/>
  </r>
  <r>
    <n v="123"/>
    <x v="4"/>
    <x v="0"/>
    <n v="10"/>
    <n v="1085"/>
    <n v="10850"/>
    <n v="880.05"/>
    <s v="Cash"/>
    <s v="2023-12-14"/>
    <x v="0"/>
    <x v="8"/>
    <n v="8.1110599078341006E-2"/>
    <s v="Profit"/>
  </r>
  <r>
    <n v="124"/>
    <x v="3"/>
    <x v="3"/>
    <n v="2"/>
    <n v="1297"/>
    <n v="2594"/>
    <n v="452.24"/>
    <s v="UPI"/>
    <s v="2023-12-28"/>
    <x v="0"/>
    <x v="8"/>
    <n v="0.1743407864302236"/>
    <s v="Profit"/>
  </r>
  <r>
    <n v="125"/>
    <x v="3"/>
    <x v="1"/>
    <n v="6"/>
    <n v="520"/>
    <n v="3120"/>
    <n v="474.04"/>
    <s v="Cash"/>
    <s v="2023-09-04"/>
    <x v="0"/>
    <x v="5"/>
    <n v="0.15193589743589744"/>
    <s v="Profit"/>
  </r>
  <r>
    <n v="126"/>
    <x v="0"/>
    <x v="3"/>
    <n v="9"/>
    <n v="109"/>
    <n v="981"/>
    <n v="257.04000000000002"/>
    <s v="Cash"/>
    <s v="2023-08-17"/>
    <x v="0"/>
    <x v="10"/>
    <n v="0.26201834862385326"/>
    <s v="Profit"/>
  </r>
  <r>
    <n v="127"/>
    <x v="2"/>
    <x v="2"/>
    <n v="2"/>
    <n v="745"/>
    <n v="1490"/>
    <n v="300.14999999999998"/>
    <s v="UPI"/>
    <s v="2023-02-18"/>
    <x v="0"/>
    <x v="3"/>
    <n v="0.20144295302013421"/>
    <s v="Profit"/>
  </r>
  <r>
    <n v="128"/>
    <x v="2"/>
    <x v="0"/>
    <n v="6"/>
    <n v="1302"/>
    <n v="7812"/>
    <n v="2035.14"/>
    <s v="Card"/>
    <s v="2023-11-05"/>
    <x v="0"/>
    <x v="9"/>
    <n v="0.2605145929339478"/>
    <s v="Profit"/>
  </r>
  <r>
    <n v="129"/>
    <x v="3"/>
    <x v="2"/>
    <n v="6"/>
    <n v="382"/>
    <n v="2292"/>
    <n v="617.33000000000004"/>
    <s v="Card"/>
    <s v="2023-07-01"/>
    <x v="0"/>
    <x v="6"/>
    <n v="0.26934118673647472"/>
    <s v="Profit"/>
  </r>
  <r>
    <n v="130"/>
    <x v="1"/>
    <x v="2"/>
    <n v="7"/>
    <n v="949"/>
    <n v="6643"/>
    <n v="1538.76"/>
    <s v="Card"/>
    <s v="2023-12-07"/>
    <x v="0"/>
    <x v="8"/>
    <n v="0.23163630889658288"/>
    <s v="Profit"/>
  </r>
  <r>
    <n v="131"/>
    <x v="0"/>
    <x v="1"/>
    <n v="2"/>
    <n v="1125"/>
    <n v="2250"/>
    <n v="138.41999999999999"/>
    <s v="UPI"/>
    <s v="2023-03-25"/>
    <x v="0"/>
    <x v="2"/>
    <n v="6.1519999999999991E-2"/>
    <s v="Profit"/>
  </r>
  <r>
    <n v="132"/>
    <x v="1"/>
    <x v="2"/>
    <n v="3"/>
    <n v="486"/>
    <n v="1458"/>
    <n v="151.05000000000001"/>
    <s v="UPI"/>
    <s v="2023-07-28"/>
    <x v="0"/>
    <x v="6"/>
    <n v="0.10360082304526749"/>
    <s v="Profit"/>
  </r>
  <r>
    <n v="133"/>
    <x v="1"/>
    <x v="0"/>
    <n v="10"/>
    <n v="560"/>
    <n v="5600"/>
    <n v="1152.1099999999999"/>
    <s v="Card"/>
    <s v="2023-07-25"/>
    <x v="0"/>
    <x v="6"/>
    <n v="0.20573392857142855"/>
    <s v="Profit"/>
  </r>
  <r>
    <n v="134"/>
    <x v="3"/>
    <x v="1"/>
    <n v="9"/>
    <n v="771"/>
    <n v="6939"/>
    <n v="1416.58"/>
    <s v="Card"/>
    <s v="2023-11-16"/>
    <x v="0"/>
    <x v="9"/>
    <n v="0.20414757169620981"/>
    <s v="Profit"/>
  </r>
  <r>
    <n v="135"/>
    <x v="3"/>
    <x v="3"/>
    <n v="7"/>
    <n v="824"/>
    <n v="5768"/>
    <n v="656.35"/>
    <s v="UPI"/>
    <s v="2023-01-05"/>
    <x v="0"/>
    <x v="11"/>
    <n v="0.11379160887656034"/>
    <s v="Profit"/>
  </r>
  <r>
    <n v="136"/>
    <x v="3"/>
    <x v="1"/>
    <n v="10"/>
    <n v="965"/>
    <n v="9650"/>
    <n v="1522.38"/>
    <s v="UPI"/>
    <s v="2023-12-21"/>
    <x v="0"/>
    <x v="8"/>
    <n v="0.15775958549222799"/>
    <s v="Profit"/>
  </r>
  <r>
    <n v="137"/>
    <x v="1"/>
    <x v="0"/>
    <n v="10"/>
    <n v="1753"/>
    <n v="17530"/>
    <n v="2484.6799999999998"/>
    <s v="UPI"/>
    <s v="2023-06-17"/>
    <x v="0"/>
    <x v="4"/>
    <n v="0.14173873359954364"/>
    <s v="Profit"/>
  </r>
  <r>
    <n v="138"/>
    <x v="0"/>
    <x v="0"/>
    <n v="2"/>
    <n v="1054"/>
    <n v="2108"/>
    <n v="484.49"/>
    <s v="Card"/>
    <s v="2023-06-29"/>
    <x v="0"/>
    <x v="4"/>
    <n v="0.22983396584440227"/>
    <s v="Profit"/>
  </r>
  <r>
    <n v="139"/>
    <x v="1"/>
    <x v="1"/>
    <n v="4"/>
    <n v="1357"/>
    <n v="5428"/>
    <n v="1596.1"/>
    <s v="UPI"/>
    <s v="2023-12-28"/>
    <x v="0"/>
    <x v="8"/>
    <n v="0.2940493736182756"/>
    <s v="Profit"/>
  </r>
  <r>
    <n v="140"/>
    <x v="3"/>
    <x v="0"/>
    <n v="2"/>
    <n v="1721"/>
    <n v="3442"/>
    <n v="670.89"/>
    <s v="UPI"/>
    <s v="2023-01-25"/>
    <x v="0"/>
    <x v="11"/>
    <n v="0.19491284137129575"/>
    <s v="Profit"/>
  </r>
  <r>
    <n v="141"/>
    <x v="1"/>
    <x v="3"/>
    <n v="7"/>
    <n v="294"/>
    <n v="2058"/>
    <n v="486.55"/>
    <s v="UPI"/>
    <s v="2023-07-17"/>
    <x v="0"/>
    <x v="6"/>
    <n v="0.23641885325558795"/>
    <s v="Profit"/>
  </r>
  <r>
    <n v="142"/>
    <x v="1"/>
    <x v="2"/>
    <n v="9"/>
    <n v="1901"/>
    <n v="17109"/>
    <n v="2831.45"/>
    <s v="UPI"/>
    <s v="2023-10-28"/>
    <x v="0"/>
    <x v="0"/>
    <n v="0.16549476883511602"/>
    <s v="Profit"/>
  </r>
  <r>
    <n v="143"/>
    <x v="1"/>
    <x v="3"/>
    <n v="2"/>
    <n v="1958"/>
    <n v="3916"/>
    <n v="1156.93"/>
    <s v="UPI"/>
    <s v="2023-03-05"/>
    <x v="0"/>
    <x v="2"/>
    <n v="0.29543667007150154"/>
    <s v="Profit"/>
  </r>
  <r>
    <n v="144"/>
    <x v="2"/>
    <x v="1"/>
    <n v="7"/>
    <n v="1120"/>
    <n v="7840"/>
    <n v="1368.25"/>
    <s v="UPI"/>
    <s v="2023-08-14"/>
    <x v="0"/>
    <x v="10"/>
    <n v="0.17452168367346937"/>
    <s v="Profit"/>
  </r>
  <r>
    <n v="145"/>
    <x v="0"/>
    <x v="2"/>
    <n v="8"/>
    <n v="1307"/>
    <n v="10456"/>
    <n v="1916.72"/>
    <s v="Cash"/>
    <s v="2023-07-22"/>
    <x v="0"/>
    <x v="6"/>
    <n v="0.18331293037490437"/>
    <s v="Profit"/>
  </r>
  <r>
    <n v="146"/>
    <x v="4"/>
    <x v="2"/>
    <n v="3"/>
    <n v="1827"/>
    <n v="5481"/>
    <n v="696.1"/>
    <s v="Card"/>
    <s v="2023-11-19"/>
    <x v="0"/>
    <x v="9"/>
    <n v="0.12700237182995805"/>
    <s v="Profit"/>
  </r>
  <r>
    <n v="147"/>
    <x v="4"/>
    <x v="3"/>
    <n v="10"/>
    <n v="161"/>
    <n v="1610"/>
    <n v="351.55"/>
    <s v="Card"/>
    <s v="2023-09-22"/>
    <x v="0"/>
    <x v="5"/>
    <n v="0.21835403726708075"/>
    <s v="Profit"/>
  </r>
  <r>
    <n v="148"/>
    <x v="2"/>
    <x v="3"/>
    <n v="3"/>
    <n v="813"/>
    <n v="2439"/>
    <n v="549.34"/>
    <s v="UPI"/>
    <s v="2023-10-17"/>
    <x v="0"/>
    <x v="0"/>
    <n v="0.22523165231652317"/>
    <s v="Profit"/>
  </r>
  <r>
    <n v="149"/>
    <x v="1"/>
    <x v="1"/>
    <n v="8"/>
    <n v="857"/>
    <n v="6856"/>
    <n v="1320.72"/>
    <s v="Card"/>
    <s v="2023-08-09"/>
    <x v="0"/>
    <x v="10"/>
    <n v="0.19263710618436405"/>
    <s v="Profit"/>
  </r>
  <r>
    <n v="150"/>
    <x v="0"/>
    <x v="1"/>
    <n v="8"/>
    <n v="1205"/>
    <n v="9640"/>
    <n v="2621.93"/>
    <s v="UPI"/>
    <s v="2023-08-29"/>
    <x v="0"/>
    <x v="10"/>
    <n v="0.27198443983402487"/>
    <s v="Profit"/>
  </r>
  <r>
    <n v="151"/>
    <x v="1"/>
    <x v="0"/>
    <n v="4"/>
    <n v="1233"/>
    <n v="4932"/>
    <n v="770.01"/>
    <s v="Card"/>
    <s v="2023-08-04"/>
    <x v="0"/>
    <x v="10"/>
    <n v="0.15612530413625303"/>
    <s v="Profit"/>
  </r>
  <r>
    <n v="152"/>
    <x v="0"/>
    <x v="0"/>
    <n v="7"/>
    <n v="616"/>
    <n v="4312"/>
    <n v="787.92"/>
    <s v="Card"/>
    <s v="2023-09-18"/>
    <x v="0"/>
    <x v="5"/>
    <n v="0.18272727272727271"/>
    <s v="Profit"/>
  </r>
  <r>
    <n v="153"/>
    <x v="3"/>
    <x v="1"/>
    <n v="8"/>
    <n v="1486"/>
    <n v="11888"/>
    <n v="1023.29"/>
    <s v="UPI"/>
    <s v="2023-06-07"/>
    <x v="0"/>
    <x v="4"/>
    <n v="8.6077557200538349E-2"/>
    <s v="Profit"/>
  </r>
  <r>
    <n v="154"/>
    <x v="0"/>
    <x v="3"/>
    <n v="6"/>
    <n v="1650"/>
    <n v="9900"/>
    <n v="641.57000000000005"/>
    <s v="Cash"/>
    <s v="2023-05-23"/>
    <x v="0"/>
    <x v="1"/>
    <n v="6.4805050505050504E-2"/>
    <s v="Profit"/>
  </r>
  <r>
    <n v="155"/>
    <x v="3"/>
    <x v="0"/>
    <n v="4"/>
    <n v="658"/>
    <n v="2632"/>
    <n v="491.93"/>
    <s v="UPI"/>
    <s v="2023-06-06"/>
    <x v="0"/>
    <x v="4"/>
    <n v="0.18690349544072948"/>
    <s v="Profit"/>
  </r>
  <r>
    <n v="156"/>
    <x v="4"/>
    <x v="3"/>
    <n v="6"/>
    <n v="743"/>
    <n v="4458"/>
    <n v="696.68"/>
    <s v="Cash"/>
    <s v="2023-08-25"/>
    <x v="0"/>
    <x v="10"/>
    <n v="0.156276357110812"/>
    <s v="Profit"/>
  </r>
  <r>
    <n v="157"/>
    <x v="3"/>
    <x v="3"/>
    <n v="9"/>
    <n v="1601"/>
    <n v="14409"/>
    <n v="3735.53"/>
    <s v="Cash"/>
    <s v="2023-10-20"/>
    <x v="0"/>
    <x v="0"/>
    <n v="0.25924977444652647"/>
    <s v="Profit"/>
  </r>
  <r>
    <n v="158"/>
    <x v="2"/>
    <x v="2"/>
    <n v="10"/>
    <n v="1157"/>
    <n v="11570"/>
    <n v="1376.03"/>
    <s v="Cash"/>
    <s v="2023-04-18"/>
    <x v="0"/>
    <x v="7"/>
    <n v="0.11893085566119274"/>
    <s v="Profit"/>
  </r>
  <r>
    <n v="159"/>
    <x v="0"/>
    <x v="3"/>
    <n v="5"/>
    <n v="1123"/>
    <n v="5615"/>
    <n v="658.99"/>
    <s v="UPI"/>
    <s v="2023-08-02"/>
    <x v="0"/>
    <x v="10"/>
    <n v="0.11736242208370437"/>
    <s v="Profit"/>
  </r>
  <r>
    <n v="160"/>
    <x v="2"/>
    <x v="3"/>
    <n v="6"/>
    <n v="914"/>
    <n v="5484"/>
    <n v="350.54"/>
    <s v="Card"/>
    <s v="2023-12-30"/>
    <x v="0"/>
    <x v="8"/>
    <n v="6.392049598832969E-2"/>
    <s v="Profit"/>
  </r>
  <r>
    <n v="161"/>
    <x v="1"/>
    <x v="3"/>
    <n v="9"/>
    <n v="928"/>
    <n v="8352"/>
    <n v="1061.3800000000001"/>
    <s v="Cash"/>
    <s v="2023-07-11"/>
    <x v="0"/>
    <x v="6"/>
    <n v="0.12708093869731801"/>
    <s v="Profit"/>
  </r>
  <r>
    <n v="162"/>
    <x v="3"/>
    <x v="2"/>
    <n v="2"/>
    <n v="1082"/>
    <n v="2164"/>
    <n v="441.77"/>
    <s v="UPI"/>
    <s v="2023-08-21"/>
    <x v="0"/>
    <x v="10"/>
    <n v="0.20414510166358593"/>
    <s v="Profit"/>
  </r>
  <r>
    <n v="163"/>
    <x v="3"/>
    <x v="2"/>
    <n v="6"/>
    <n v="1003"/>
    <n v="6018"/>
    <n v="827.02"/>
    <s v="Card"/>
    <s v="2023-02-02"/>
    <x v="0"/>
    <x v="3"/>
    <n v="0.13742439348620805"/>
    <s v="Profit"/>
  </r>
  <r>
    <n v="164"/>
    <x v="0"/>
    <x v="1"/>
    <n v="2"/>
    <n v="1640"/>
    <n v="3280"/>
    <n v="784.83"/>
    <s v="UPI"/>
    <s v="2023-01-18"/>
    <x v="0"/>
    <x v="11"/>
    <n v="0.23927743902439025"/>
    <s v="Profit"/>
  </r>
  <r>
    <n v="165"/>
    <x v="0"/>
    <x v="1"/>
    <n v="6"/>
    <n v="1531"/>
    <n v="9186"/>
    <n v="760.72"/>
    <s v="Cash"/>
    <s v="2023-07-19"/>
    <x v="0"/>
    <x v="6"/>
    <n v="8.2812976268234278E-2"/>
    <s v="Profit"/>
  </r>
  <r>
    <n v="166"/>
    <x v="1"/>
    <x v="3"/>
    <n v="3"/>
    <n v="1903"/>
    <n v="5709"/>
    <n v="1287.97"/>
    <s v="Card"/>
    <s v="2023-06-02"/>
    <x v="0"/>
    <x v="4"/>
    <n v="0.22560343317568751"/>
    <s v="Profit"/>
  </r>
  <r>
    <n v="167"/>
    <x v="1"/>
    <x v="3"/>
    <n v="2"/>
    <n v="1493"/>
    <n v="2986"/>
    <n v="396.73"/>
    <s v="Card"/>
    <s v="2023-07-22"/>
    <x v="0"/>
    <x v="6"/>
    <n v="0.13286336235766913"/>
    <s v="Profit"/>
  </r>
  <r>
    <n v="168"/>
    <x v="2"/>
    <x v="0"/>
    <n v="2"/>
    <n v="513"/>
    <n v="1026"/>
    <n v="193.25"/>
    <s v="Card"/>
    <s v="2023-02-23"/>
    <x v="0"/>
    <x v="3"/>
    <n v="0.18835282651072124"/>
    <s v="Profit"/>
  </r>
  <r>
    <n v="169"/>
    <x v="2"/>
    <x v="0"/>
    <n v="2"/>
    <n v="502"/>
    <n v="1004"/>
    <n v="136.81"/>
    <s v="Cash"/>
    <s v="2023-04-16"/>
    <x v="0"/>
    <x v="7"/>
    <n v="0.13626494023904381"/>
    <s v="Profit"/>
  </r>
  <r>
    <n v="170"/>
    <x v="0"/>
    <x v="3"/>
    <n v="5"/>
    <n v="848"/>
    <n v="4240"/>
    <n v="1242.8900000000001"/>
    <s v="Cash"/>
    <s v="2023-06-06"/>
    <x v="0"/>
    <x v="4"/>
    <n v="0.29313443396226418"/>
    <s v="Profit"/>
  </r>
  <r>
    <n v="171"/>
    <x v="2"/>
    <x v="0"/>
    <n v="3"/>
    <n v="1714"/>
    <n v="5142"/>
    <n v="1288.48"/>
    <s v="Card"/>
    <s v="2023-10-30"/>
    <x v="0"/>
    <x v="0"/>
    <n v="0.25057954103461688"/>
    <s v="Profit"/>
  </r>
  <r>
    <n v="172"/>
    <x v="1"/>
    <x v="0"/>
    <n v="5"/>
    <n v="570"/>
    <n v="2850"/>
    <n v="784.3"/>
    <s v="Cash"/>
    <s v="2023-11-03"/>
    <x v="0"/>
    <x v="9"/>
    <n v="0.27519298245614032"/>
    <s v="Profit"/>
  </r>
  <r>
    <n v="173"/>
    <x v="3"/>
    <x v="0"/>
    <n v="1"/>
    <n v="320"/>
    <n v="320"/>
    <n v="16.079999999999998"/>
    <s v="UPI"/>
    <s v="2023-07-22"/>
    <x v="0"/>
    <x v="6"/>
    <n v="5.0249999999999996E-2"/>
    <s v="Profit"/>
  </r>
  <r>
    <n v="174"/>
    <x v="2"/>
    <x v="1"/>
    <n v="2"/>
    <n v="244"/>
    <n v="488"/>
    <n v="27.14"/>
    <s v="Card"/>
    <s v="2023-03-10"/>
    <x v="0"/>
    <x v="2"/>
    <n v="5.5614754098360655E-2"/>
    <s v="Profit"/>
  </r>
  <r>
    <n v="175"/>
    <x v="4"/>
    <x v="1"/>
    <n v="6"/>
    <n v="420"/>
    <n v="2520"/>
    <n v="422.2"/>
    <s v="UPI"/>
    <s v="2023-03-02"/>
    <x v="0"/>
    <x v="2"/>
    <n v="0.16753968253968254"/>
    <s v="Profit"/>
  </r>
  <r>
    <n v="176"/>
    <x v="0"/>
    <x v="2"/>
    <n v="6"/>
    <n v="497"/>
    <n v="2982"/>
    <n v="544.6"/>
    <s v="Card"/>
    <s v="2023-08-14"/>
    <x v="0"/>
    <x v="10"/>
    <n v="0.18262910798122067"/>
    <s v="Profit"/>
  </r>
  <r>
    <n v="177"/>
    <x v="2"/>
    <x v="0"/>
    <n v="8"/>
    <n v="1946"/>
    <n v="15568"/>
    <n v="1029.8699999999999"/>
    <s v="Card"/>
    <s v="2023-01-12"/>
    <x v="0"/>
    <x v="11"/>
    <n v="6.6153006166495373E-2"/>
    <s v="Profit"/>
  </r>
  <r>
    <n v="178"/>
    <x v="3"/>
    <x v="0"/>
    <n v="7"/>
    <n v="485"/>
    <n v="3395"/>
    <n v="786.05"/>
    <s v="Cash"/>
    <s v="2023-03-19"/>
    <x v="0"/>
    <x v="2"/>
    <n v="0.23153166421207658"/>
    <s v="Profit"/>
  </r>
  <r>
    <n v="179"/>
    <x v="4"/>
    <x v="0"/>
    <n v="7"/>
    <n v="238"/>
    <n v="1666"/>
    <n v="401.91"/>
    <s v="Cash"/>
    <s v="2023-12-30"/>
    <x v="0"/>
    <x v="8"/>
    <n v="0.24124249699879954"/>
    <s v="Profit"/>
  </r>
  <r>
    <n v="180"/>
    <x v="1"/>
    <x v="0"/>
    <n v="4"/>
    <n v="1245"/>
    <n v="4980"/>
    <n v="1326.24"/>
    <s v="Card"/>
    <s v="2023-06-03"/>
    <x v="0"/>
    <x v="4"/>
    <n v="0.26631325301204817"/>
    <s v="Profit"/>
  </r>
  <r>
    <n v="181"/>
    <x v="2"/>
    <x v="0"/>
    <n v="7"/>
    <n v="1538"/>
    <n v="10766"/>
    <n v="2353.88"/>
    <s v="Cash"/>
    <s v="2023-12-28"/>
    <x v="0"/>
    <x v="8"/>
    <n v="0.21864016347761472"/>
    <s v="Profit"/>
  </r>
  <r>
    <n v="182"/>
    <x v="1"/>
    <x v="0"/>
    <n v="7"/>
    <n v="326"/>
    <n v="2282"/>
    <n v="619.66"/>
    <s v="Card"/>
    <s v="2023-05-16"/>
    <x v="0"/>
    <x v="1"/>
    <n v="0.27154250657318141"/>
    <s v="Profit"/>
  </r>
  <r>
    <n v="183"/>
    <x v="3"/>
    <x v="2"/>
    <n v="2"/>
    <n v="710"/>
    <n v="1420"/>
    <n v="259.74"/>
    <s v="Cash"/>
    <s v="2023-07-19"/>
    <x v="0"/>
    <x v="6"/>
    <n v="0.18291549295774648"/>
    <s v="Profit"/>
  </r>
  <r>
    <n v="184"/>
    <x v="2"/>
    <x v="2"/>
    <n v="3"/>
    <n v="1786"/>
    <n v="5358"/>
    <n v="772.71"/>
    <s v="Cash"/>
    <s v="2023-09-18"/>
    <x v="0"/>
    <x v="5"/>
    <n v="0.14421612541993281"/>
    <s v="Profit"/>
  </r>
  <r>
    <n v="185"/>
    <x v="2"/>
    <x v="3"/>
    <n v="8"/>
    <n v="1177"/>
    <n v="9416"/>
    <n v="997.57"/>
    <s v="Card"/>
    <s v="2023-11-15"/>
    <x v="0"/>
    <x v="9"/>
    <n v="0.10594413763806287"/>
    <s v="Profit"/>
  </r>
  <r>
    <n v="186"/>
    <x v="1"/>
    <x v="2"/>
    <n v="9"/>
    <n v="382"/>
    <n v="3438"/>
    <n v="738.47"/>
    <s v="UPI"/>
    <s v="2023-10-24"/>
    <x v="0"/>
    <x v="0"/>
    <n v="0.21479639325189065"/>
    <s v="Profit"/>
  </r>
  <r>
    <n v="187"/>
    <x v="1"/>
    <x v="3"/>
    <n v="6"/>
    <n v="441"/>
    <n v="2646"/>
    <n v="422.9"/>
    <s v="Cash"/>
    <s v="2023-12-04"/>
    <x v="0"/>
    <x v="8"/>
    <n v="0.15982615268329553"/>
    <s v="Profit"/>
  </r>
  <r>
    <n v="188"/>
    <x v="3"/>
    <x v="2"/>
    <n v="7"/>
    <n v="1466"/>
    <n v="10262"/>
    <n v="2325.92"/>
    <s v="Cash"/>
    <s v="2023-08-20"/>
    <x v="0"/>
    <x v="10"/>
    <n v="0.22665367374780745"/>
    <s v="Profit"/>
  </r>
  <r>
    <n v="189"/>
    <x v="0"/>
    <x v="0"/>
    <n v="4"/>
    <n v="1390"/>
    <n v="5560"/>
    <n v="1629.49"/>
    <s v="Card"/>
    <s v="2023-11-18"/>
    <x v="0"/>
    <x v="9"/>
    <n v="0.29307374100719424"/>
    <s v="Profit"/>
  </r>
  <r>
    <n v="190"/>
    <x v="2"/>
    <x v="3"/>
    <n v="8"/>
    <n v="1437"/>
    <n v="11496"/>
    <n v="2008.54"/>
    <s v="Card"/>
    <s v="2023-09-24"/>
    <x v="0"/>
    <x v="5"/>
    <n v="0.17471642310368823"/>
    <s v="Profit"/>
  </r>
  <r>
    <n v="191"/>
    <x v="4"/>
    <x v="1"/>
    <n v="2"/>
    <n v="510"/>
    <n v="1020"/>
    <n v="297.43"/>
    <s v="Cash"/>
    <s v="2023-05-03"/>
    <x v="0"/>
    <x v="1"/>
    <n v="0.29159803921568628"/>
    <s v="Profit"/>
  </r>
  <r>
    <n v="192"/>
    <x v="4"/>
    <x v="3"/>
    <n v="7"/>
    <n v="1088"/>
    <n v="7616"/>
    <n v="2243.62"/>
    <s v="Cash"/>
    <s v="2023-10-11"/>
    <x v="0"/>
    <x v="0"/>
    <n v="0.29459296218487391"/>
    <s v="Profit"/>
  </r>
  <r>
    <n v="193"/>
    <x v="3"/>
    <x v="2"/>
    <n v="1"/>
    <n v="1799"/>
    <n v="1799"/>
    <n v="232.59"/>
    <s v="UPI"/>
    <s v="2023-09-11"/>
    <x v="0"/>
    <x v="5"/>
    <n v="0.12928849360755976"/>
    <s v="Profit"/>
  </r>
  <r>
    <n v="194"/>
    <x v="3"/>
    <x v="0"/>
    <n v="9"/>
    <n v="865"/>
    <n v="7785"/>
    <n v="2227.92"/>
    <s v="UPI"/>
    <s v="2023-10-18"/>
    <x v="0"/>
    <x v="0"/>
    <n v="0.28618111753371872"/>
    <s v="Profit"/>
  </r>
  <r>
    <n v="195"/>
    <x v="4"/>
    <x v="1"/>
    <n v="4"/>
    <n v="588"/>
    <n v="2352"/>
    <n v="679.94"/>
    <s v="Cash"/>
    <s v="2023-08-16"/>
    <x v="0"/>
    <x v="10"/>
    <n v="0.2890901360544218"/>
    <s v="Profit"/>
  </r>
  <r>
    <n v="196"/>
    <x v="2"/>
    <x v="0"/>
    <n v="10"/>
    <n v="1639"/>
    <n v="16390"/>
    <n v="1869.67"/>
    <s v="Cash"/>
    <s v="2023-07-20"/>
    <x v="0"/>
    <x v="6"/>
    <n v="0.11407382550335571"/>
    <s v="Profit"/>
  </r>
  <r>
    <n v="197"/>
    <x v="4"/>
    <x v="0"/>
    <n v="1"/>
    <n v="250"/>
    <n v="250"/>
    <n v="63.34"/>
    <s v="UPI"/>
    <s v="2023-04-24"/>
    <x v="0"/>
    <x v="7"/>
    <n v="0.25336000000000003"/>
    <s v="Profit"/>
  </r>
  <r>
    <n v="198"/>
    <x v="0"/>
    <x v="3"/>
    <n v="5"/>
    <n v="1209"/>
    <n v="6045"/>
    <n v="1385.77"/>
    <s v="Card"/>
    <s v="2023-06-29"/>
    <x v="0"/>
    <x v="4"/>
    <n v="0.22924234904880067"/>
    <s v="Profit"/>
  </r>
  <r>
    <n v="199"/>
    <x v="1"/>
    <x v="2"/>
    <n v="2"/>
    <n v="1828"/>
    <n v="3656"/>
    <n v="941.49"/>
    <s v="Cash"/>
    <s v="2023-08-05"/>
    <x v="0"/>
    <x v="10"/>
    <n v="0.2575191466083151"/>
    <s v="Profit"/>
  </r>
  <r>
    <n v="200"/>
    <x v="3"/>
    <x v="3"/>
    <n v="5"/>
    <n v="465"/>
    <n v="2325"/>
    <n v="280.77"/>
    <s v="Card"/>
    <s v="2023-10-30"/>
    <x v="0"/>
    <x v="0"/>
    <n v="0.12076129032258064"/>
    <s v="Profit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D746A9FF-7116-4A20-B069-D8E3B9C4D3F3}" name="PivotTable2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rowHeaderCaption="Cities">
  <location ref="A3:B9" firstHeaderRow="1" firstDataRow="1" firstDataCol="1"/>
  <pivotFields count="13">
    <pivotField showAll="0"/>
    <pivotField axis="axisRow" showAll="0">
      <items count="6">
        <item x="4"/>
        <item x="0"/>
        <item x="2"/>
        <item x="1"/>
        <item x="3"/>
        <item t="default"/>
      </items>
    </pivotField>
    <pivotField showAll="0"/>
    <pivotField showAll="0"/>
    <pivotField showAll="0"/>
    <pivotField dataField="1" showAll="0"/>
    <pivotField showAll="0"/>
    <pivotField showAll="0"/>
    <pivotField showAll="0"/>
    <pivotField showAll="0"/>
    <pivotField showAll="0"/>
    <pivotField numFmtId="10" showAll="0"/>
    <pivotField showAll="0"/>
  </pivotFields>
  <rowFields count="1">
    <field x="1"/>
  </rowFields>
  <rowItems count="6">
    <i>
      <x/>
    </i>
    <i>
      <x v="1"/>
    </i>
    <i>
      <x v="2"/>
    </i>
    <i>
      <x v="3"/>
    </i>
    <i>
      <x v="4"/>
    </i>
    <i t="grand">
      <x/>
    </i>
  </rowItems>
  <colItems count="1">
    <i/>
  </colItems>
  <dataFields count="1">
    <dataField name="Sum of Total_Sales" fld="5" baseField="0" baseItem="0" numFmtId="165"/>
  </dataFields>
  <formats count="1">
    <format dxfId="8">
      <pivotArea outline="0" collapsedLevelsAreSubtotals="1" fieldPosition="0"/>
    </format>
  </formats>
  <pivotTableStyleInfo name="PivotStyleMedium23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5E741564-3631-45C7-AF8E-A2C3F24BE387}" name="PivotTable3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rowHeaderCaption="Category">
  <location ref="G3:H8" firstHeaderRow="1" firstDataRow="1" firstDataCol="1"/>
  <pivotFields count="13">
    <pivotField showAll="0"/>
    <pivotField showAll="0"/>
    <pivotField axis="axisRow" showAll="0">
      <items count="5">
        <item x="3"/>
        <item x="1"/>
        <item x="2"/>
        <item x="0"/>
        <item t="default"/>
      </items>
    </pivotField>
    <pivotField showAll="0"/>
    <pivotField showAll="0"/>
    <pivotField showAll="0"/>
    <pivotField dataField="1" showAll="0"/>
    <pivotField showAll="0"/>
    <pivotField showAll="0"/>
    <pivotField showAll="0"/>
    <pivotField showAll="0"/>
    <pivotField numFmtId="10" showAll="0"/>
    <pivotField showAll="0"/>
  </pivotFields>
  <rowFields count="1">
    <field x="2"/>
  </rowFields>
  <rowItems count="5">
    <i>
      <x/>
    </i>
    <i>
      <x v="1"/>
    </i>
    <i>
      <x v="2"/>
    </i>
    <i>
      <x v="3"/>
    </i>
    <i t="grand">
      <x/>
    </i>
  </rowItems>
  <colItems count="1">
    <i/>
  </colItems>
  <dataFields count="1">
    <dataField name="Sum of Profit" fld="6" baseField="0" baseItem="0" numFmtId="164"/>
  </dataFields>
  <formats count="1">
    <format dxfId="9">
      <pivotArea outline="0" collapsedLevelsAreSubtotals="1" fieldPosition="0"/>
    </format>
  </formats>
  <pivotTableStyleInfo name="PivotStyleMedium23" showRowHeaders="1" showColHeaders="1" showRowStripes="0" showColStripes="1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821F70AD-1FB5-40FD-BC04-5171B60D941F}" name="PivotTable7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rowHeaderCaption="Month">
  <location ref="D3:E16" firstHeaderRow="1" firstDataRow="1" firstDataCol="1" rowPageCount="1" colPageCount="1"/>
  <pivotFields count="13">
    <pivotField showAll="0"/>
    <pivotField showAll="0"/>
    <pivotField showAll="0"/>
    <pivotField showAll="0"/>
    <pivotField showAll="0"/>
    <pivotField dataField="1" showAll="0"/>
    <pivotField showAll="0"/>
    <pivotField showAll="0"/>
    <pivotField showAll="0"/>
    <pivotField axis="axisPage" multipleItemSelectionAllowed="1" showAll="0">
      <items count="3">
        <item x="0"/>
        <item x="1"/>
        <item t="default"/>
      </items>
    </pivotField>
    <pivotField axis="axisRow" showAll="0">
      <items count="13">
        <item sd="0" x="11"/>
        <item x="3"/>
        <item x="2"/>
        <item x="7"/>
        <item x="1"/>
        <item x="4"/>
        <item x="6"/>
        <item x="10"/>
        <item x="5"/>
        <item x="0"/>
        <item x="9"/>
        <item x="8"/>
        <item t="default"/>
      </items>
    </pivotField>
    <pivotField numFmtId="10" showAll="0"/>
    <pivotField showAll="0"/>
  </pivotFields>
  <rowFields count="1">
    <field x="10"/>
  </rowFields>
  <rowItems count="13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 t="grand">
      <x/>
    </i>
  </rowItems>
  <colItems count="1">
    <i/>
  </colItems>
  <pageFields count="1">
    <pageField fld="9" hier="-1"/>
  </pageFields>
  <dataFields count="1">
    <dataField name="Sum of Total_Sales" fld="5" baseField="0" baseItem="0" numFmtId="165"/>
  </dataFields>
  <formats count="1">
    <format dxfId="10">
      <pivotArea outline="0" collapsedLevelsAreSubtotals="1" fieldPosition="0"/>
    </format>
  </formats>
  <pivotTableStyleInfo name="PivotStyleMedium23" showRowHeaders="1" showColHeaders="1" showRowStripes="0" showColStripes="1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B5E4B60E-F8D8-4216-B461-81D34101E0C3}" name="Table2" displayName="Table2" ref="A3:M203" totalsRowShown="0">
  <autoFilter ref="A3:M203" xr:uid="{B5E4B60E-F8D8-4216-B461-81D34101E0C3}"/>
  <tableColumns count="13">
    <tableColumn id="1" xr3:uid="{F382DB55-F9EB-4139-B1D8-CCB33A3CD943}" name="Order_ID"/>
    <tableColumn id="2" xr3:uid="{EB707CA9-464C-4E5F-9BB4-E75607476FDC}" name="City"/>
    <tableColumn id="3" xr3:uid="{8D621E8B-6BA9-42F1-B374-9A824E5A59A1}" name="Category"/>
    <tableColumn id="4" xr3:uid="{00000ECE-BFC2-47DD-A2CC-C5D9C8F099ED}" name="Quantity"/>
    <tableColumn id="5" xr3:uid="{63F9E5D4-A29A-4ECB-945E-292D4B3816BE}" name="Unit_Price"/>
    <tableColumn id="6" xr3:uid="{951E1237-D16B-4E7D-B627-F18379F11982}" name="Total_Sales"/>
    <tableColumn id="7" xr3:uid="{83EE34E7-F8A5-40FF-99B6-8EA9C3DFAA59}" name="Profit"/>
    <tableColumn id="8" xr3:uid="{55480557-E087-4590-B586-E09D0BCF6AD4}" name="Payment_Method"/>
    <tableColumn id="9" xr3:uid="{E9AB0956-C699-4BE9-B455-195350373FC8}" name="Order_Date"/>
    <tableColumn id="10" xr3:uid="{5E81FE4F-4F3B-407B-AB49-F25C87702912}" name="Year"/>
    <tableColumn id="11" xr3:uid="{A50836C9-3557-4558-AC7E-972BF950ED8D}" name="Order Month"/>
    <tableColumn id="12" xr3:uid="{DEC19CE9-C3C9-47BB-9143-500792CECCED}" name="Profit Margin"/>
    <tableColumn id="13" xr3:uid="{3C27E755-5983-40DB-926A-21EA9C22982C}" name="Profit/Loss"/>
  </tableColumns>
  <tableStyleInfo name="TableStyleMedium9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1AF8F95A-7999-4262-9B88-39D4934C8349}" name="Table1" displayName="Table1" ref="A1:M201" totalsRowShown="0" headerRowDxfId="7" headerRowBorderDxfId="6" tableBorderDxfId="5">
  <autoFilter ref="A1:M201" xr:uid="{1AF8F95A-7999-4262-9B88-39D4934C8349}"/>
  <tableColumns count="13">
    <tableColumn id="1" xr3:uid="{C8277CE3-1971-40FD-8360-B57F83591C26}" name="Order_ID"/>
    <tableColumn id="2" xr3:uid="{78FCCCC9-52AE-415A-8050-5A7D914716EA}" name="City"/>
    <tableColumn id="3" xr3:uid="{EE596406-6B22-4F03-A569-2EE07242A7A7}" name="Category"/>
    <tableColumn id="4" xr3:uid="{96BA3C68-C1BF-41E4-8EED-839EC3714922}" name="Quantity"/>
    <tableColumn id="5" xr3:uid="{29CBB27F-31E8-476A-8683-2EA20650B66A}" name="Unit_Price"/>
    <tableColumn id="6" xr3:uid="{67D69C61-C46B-4AD4-8A7A-C7DE6A7D5285}" name="Total_Sales"/>
    <tableColumn id="7" xr3:uid="{6AB3D8AD-96A7-4C4C-92D5-A3998501F16A}" name="Profit"/>
    <tableColumn id="8" xr3:uid="{768EDC0B-2C53-4366-9078-F13179985616}" name="Payment_Method"/>
    <tableColumn id="9" xr3:uid="{79250967-4153-4691-817B-CBB944E0F64F}" name="Order_Date"/>
    <tableColumn id="13" xr3:uid="{D7549DFA-77D5-4D65-86BF-C643F564B8B3}" name="Year" dataDxfId="4">
      <calculatedColumnFormula>TEXT(I:I,"yyyy")</calculatedColumnFormula>
    </tableColumn>
    <tableColumn id="11" xr3:uid="{BB98BEB0-9CE7-48F0-9E8F-44908D26660E}" name="Order Month" dataDxfId="3">
      <calculatedColumnFormula>TEXT(I2,"mmm")</calculatedColumnFormula>
    </tableColumn>
    <tableColumn id="10" xr3:uid="{85FA692C-D576-44CA-A81F-DFC0F0BD7216}" name="Profit Margin" dataDxfId="2">
      <calculatedColumnFormula>G2/F2</calculatedColumnFormula>
    </tableColumn>
    <tableColumn id="12" xr3:uid="{C6BB4A96-749E-4257-A767-BE2FA71A4C10}" name="Profit/Loss" dataDxfId="1">
      <calculatedColumnFormula>IF(Table1[[#This Row],[Profit Margin]]&gt;0,"Profit")</calculatedColumnFormula>
    </tableColumn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pivotTable" Target="../pivotTables/pivotTable3.xml"/><Relationship Id="rId2" Type="http://schemas.openxmlformats.org/officeDocument/2006/relationships/pivotTable" Target="../pivotTables/pivotTable2.xml"/><Relationship Id="rId1" Type="http://schemas.openxmlformats.org/officeDocument/2006/relationships/pivotTable" Target="../pivotTables/pivotTable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B4DB61E-520C-497F-B75B-DBB73A45EB2C}">
  <dimension ref="A1:M203"/>
  <sheetViews>
    <sheetView workbookViewId="0">
      <selection activeCell="A3" sqref="A3:M203"/>
    </sheetView>
  </sheetViews>
  <sheetFormatPr defaultRowHeight="14.4" x14ac:dyDescent="0.3"/>
  <cols>
    <col min="1" max="1" width="10.77734375" bestFit="1" customWidth="1"/>
    <col min="2" max="2" width="9.77734375" bestFit="1" customWidth="1"/>
    <col min="3" max="3" width="10.77734375" bestFit="1" customWidth="1"/>
    <col min="4" max="4" width="10.5546875" bestFit="1" customWidth="1"/>
    <col min="5" max="5" width="11.88671875" bestFit="1" customWidth="1"/>
    <col min="6" max="6" width="12.6640625" bestFit="1" customWidth="1"/>
    <col min="7" max="7" width="9" bestFit="1" customWidth="1"/>
    <col min="8" max="8" width="18.6640625" bestFit="1" customWidth="1"/>
    <col min="9" max="9" width="12.88671875" bestFit="1" customWidth="1"/>
    <col min="10" max="10" width="9" bestFit="1" customWidth="1"/>
    <col min="11" max="11" width="14.21875" bestFit="1" customWidth="1"/>
    <col min="12" max="12" width="14.33203125" bestFit="1" customWidth="1"/>
    <col min="13" max="13" width="12.33203125" bestFit="1" customWidth="1"/>
  </cols>
  <sheetData>
    <row r="1" spans="1:13" x14ac:dyDescent="0.3">
      <c r="A1" s="14" t="s">
        <v>201</v>
      </c>
    </row>
    <row r="3" spans="1:13" x14ac:dyDescent="0.3">
      <c r="A3" t="s">
        <v>0</v>
      </c>
      <c r="B3" t="s">
        <v>1</v>
      </c>
      <c r="C3" t="s">
        <v>2</v>
      </c>
      <c r="D3" t="s">
        <v>3</v>
      </c>
      <c r="E3" t="s">
        <v>4</v>
      </c>
      <c r="F3" t="s">
        <v>5</v>
      </c>
      <c r="G3" t="s">
        <v>6</v>
      </c>
      <c r="H3" t="s">
        <v>7</v>
      </c>
      <c r="I3" t="s">
        <v>8</v>
      </c>
      <c r="J3" t="s">
        <v>195</v>
      </c>
      <c r="K3" t="s">
        <v>176</v>
      </c>
      <c r="L3" t="s">
        <v>170</v>
      </c>
      <c r="M3" t="s">
        <v>194</v>
      </c>
    </row>
    <row r="4" spans="1:13" x14ac:dyDescent="0.3">
      <c r="A4">
        <v>11</v>
      </c>
      <c r="B4" t="s">
        <v>9</v>
      </c>
      <c r="C4" t="s">
        <v>17</v>
      </c>
      <c r="D4">
        <v>9</v>
      </c>
      <c r="E4">
        <v>837</v>
      </c>
      <c r="F4">
        <v>7533</v>
      </c>
      <c r="G4">
        <v>1063.26</v>
      </c>
      <c r="H4" t="s">
        <v>19</v>
      </c>
      <c r="I4" t="s">
        <v>31</v>
      </c>
      <c r="J4" t="s">
        <v>196</v>
      </c>
      <c r="K4" t="s">
        <v>178</v>
      </c>
      <c r="L4">
        <v>0.14114695340501793</v>
      </c>
      <c r="M4" t="s">
        <v>6</v>
      </c>
    </row>
    <row r="5" spans="1:13" x14ac:dyDescent="0.3">
      <c r="A5">
        <v>13</v>
      </c>
      <c r="B5" t="s">
        <v>11</v>
      </c>
      <c r="C5" t="s">
        <v>17</v>
      </c>
      <c r="D5">
        <v>2</v>
      </c>
      <c r="E5">
        <v>602</v>
      </c>
      <c r="F5">
        <v>1204</v>
      </c>
      <c r="G5">
        <v>111.83</v>
      </c>
      <c r="H5" t="s">
        <v>19</v>
      </c>
      <c r="I5" t="s">
        <v>33</v>
      </c>
      <c r="J5" t="s">
        <v>196</v>
      </c>
      <c r="K5" t="s">
        <v>180</v>
      </c>
      <c r="L5">
        <v>9.2882059800664454E-2</v>
      </c>
      <c r="M5" t="s">
        <v>6</v>
      </c>
    </row>
    <row r="6" spans="1:13" x14ac:dyDescent="0.3">
      <c r="A6">
        <v>14</v>
      </c>
      <c r="B6" t="s">
        <v>12</v>
      </c>
      <c r="C6" t="s">
        <v>17</v>
      </c>
      <c r="D6">
        <v>1</v>
      </c>
      <c r="E6">
        <v>449</v>
      </c>
      <c r="F6">
        <v>449</v>
      </c>
      <c r="G6">
        <v>63.14</v>
      </c>
      <c r="H6" t="s">
        <v>18</v>
      </c>
      <c r="I6" t="s">
        <v>34</v>
      </c>
      <c r="J6" t="s">
        <v>196</v>
      </c>
      <c r="K6" t="s">
        <v>185</v>
      </c>
      <c r="L6">
        <v>0.14062360801781737</v>
      </c>
      <c r="M6" t="s">
        <v>6</v>
      </c>
    </row>
    <row r="7" spans="1:13" x14ac:dyDescent="0.3">
      <c r="A7">
        <v>19</v>
      </c>
      <c r="B7" t="s">
        <v>13</v>
      </c>
      <c r="C7" t="s">
        <v>17</v>
      </c>
      <c r="D7">
        <v>5</v>
      </c>
      <c r="E7">
        <v>972</v>
      </c>
      <c r="F7">
        <v>4860</v>
      </c>
      <c r="G7">
        <v>1147.43</v>
      </c>
      <c r="H7" t="s">
        <v>19</v>
      </c>
      <c r="I7" t="s">
        <v>39</v>
      </c>
      <c r="J7" t="s">
        <v>196</v>
      </c>
      <c r="K7" t="s">
        <v>180</v>
      </c>
      <c r="L7">
        <v>0.23609670781893005</v>
      </c>
      <c r="M7" t="s">
        <v>6</v>
      </c>
    </row>
    <row r="8" spans="1:13" x14ac:dyDescent="0.3">
      <c r="A8">
        <v>23</v>
      </c>
      <c r="B8" t="s">
        <v>12</v>
      </c>
      <c r="C8" t="s">
        <v>17</v>
      </c>
      <c r="D8">
        <v>4</v>
      </c>
      <c r="E8">
        <v>859</v>
      </c>
      <c r="F8">
        <v>3436</v>
      </c>
      <c r="G8">
        <v>810.36</v>
      </c>
      <c r="H8" t="s">
        <v>18</v>
      </c>
      <c r="I8" t="s">
        <v>43</v>
      </c>
      <c r="J8" t="s">
        <v>196</v>
      </c>
      <c r="K8" t="s">
        <v>182</v>
      </c>
      <c r="L8">
        <v>0.23584400465657743</v>
      </c>
      <c r="M8" t="s">
        <v>6</v>
      </c>
    </row>
    <row r="9" spans="1:13" x14ac:dyDescent="0.3">
      <c r="A9">
        <v>26</v>
      </c>
      <c r="B9" t="s">
        <v>9</v>
      </c>
      <c r="C9" t="s">
        <v>17</v>
      </c>
      <c r="D9">
        <v>8</v>
      </c>
      <c r="E9">
        <v>1262</v>
      </c>
      <c r="F9">
        <v>10096</v>
      </c>
      <c r="G9">
        <v>1328.94</v>
      </c>
      <c r="H9" t="s">
        <v>19</v>
      </c>
      <c r="I9" t="s">
        <v>46</v>
      </c>
      <c r="J9" t="s">
        <v>196</v>
      </c>
      <c r="K9" t="s">
        <v>187</v>
      </c>
      <c r="L9">
        <v>0.13163034865293186</v>
      </c>
      <c r="M9" t="s">
        <v>6</v>
      </c>
    </row>
    <row r="10" spans="1:13" x14ac:dyDescent="0.3">
      <c r="A10">
        <v>29</v>
      </c>
      <c r="B10" t="s">
        <v>10</v>
      </c>
      <c r="C10" t="s">
        <v>17</v>
      </c>
      <c r="D10">
        <v>1</v>
      </c>
      <c r="E10">
        <v>1146</v>
      </c>
      <c r="F10">
        <v>1146</v>
      </c>
      <c r="G10">
        <v>290.2</v>
      </c>
      <c r="H10" t="s">
        <v>18</v>
      </c>
      <c r="I10" t="s">
        <v>49</v>
      </c>
      <c r="J10" t="s">
        <v>196</v>
      </c>
      <c r="K10" t="s">
        <v>184</v>
      </c>
      <c r="L10">
        <v>0.25322862129144852</v>
      </c>
      <c r="M10" t="s">
        <v>6</v>
      </c>
    </row>
    <row r="11" spans="1:13" x14ac:dyDescent="0.3">
      <c r="A11">
        <v>31</v>
      </c>
      <c r="B11" t="s">
        <v>12</v>
      </c>
      <c r="C11" t="s">
        <v>17</v>
      </c>
      <c r="D11">
        <v>5</v>
      </c>
      <c r="E11">
        <v>1881</v>
      </c>
      <c r="F11">
        <v>9405</v>
      </c>
      <c r="G11">
        <v>1250.24</v>
      </c>
      <c r="H11" t="s">
        <v>18</v>
      </c>
      <c r="I11" t="s">
        <v>25</v>
      </c>
      <c r="J11" t="s">
        <v>196</v>
      </c>
      <c r="K11" t="s">
        <v>181</v>
      </c>
      <c r="L11">
        <v>0.13293354598617757</v>
      </c>
      <c r="M11" t="s">
        <v>6</v>
      </c>
    </row>
    <row r="12" spans="1:13" x14ac:dyDescent="0.3">
      <c r="A12">
        <v>32</v>
      </c>
      <c r="B12" t="s">
        <v>10</v>
      </c>
      <c r="C12" t="s">
        <v>17</v>
      </c>
      <c r="D12">
        <v>10</v>
      </c>
      <c r="E12">
        <v>1087</v>
      </c>
      <c r="F12">
        <v>10870</v>
      </c>
      <c r="G12">
        <v>2177.64</v>
      </c>
      <c r="H12" t="s">
        <v>19</v>
      </c>
      <c r="I12" t="s">
        <v>51</v>
      </c>
      <c r="J12" t="s">
        <v>196</v>
      </c>
      <c r="K12" t="s">
        <v>177</v>
      </c>
      <c r="L12">
        <v>0.20033486660533578</v>
      </c>
      <c r="M12" t="s">
        <v>6</v>
      </c>
    </row>
    <row r="13" spans="1:13" x14ac:dyDescent="0.3">
      <c r="A13">
        <v>40</v>
      </c>
      <c r="B13" t="s">
        <v>13</v>
      </c>
      <c r="C13" t="s">
        <v>17</v>
      </c>
      <c r="D13">
        <v>9</v>
      </c>
      <c r="E13">
        <v>1956</v>
      </c>
      <c r="F13">
        <v>17604</v>
      </c>
      <c r="G13">
        <v>4456.53</v>
      </c>
      <c r="H13" t="s">
        <v>18</v>
      </c>
      <c r="I13" t="s">
        <v>52</v>
      </c>
      <c r="J13" t="s">
        <v>196</v>
      </c>
      <c r="K13" t="s">
        <v>183</v>
      </c>
      <c r="L13">
        <v>0.25315439672801637</v>
      </c>
      <c r="M13" t="s">
        <v>6</v>
      </c>
    </row>
    <row r="14" spans="1:13" x14ac:dyDescent="0.3">
      <c r="A14">
        <v>41</v>
      </c>
      <c r="B14" t="s">
        <v>11</v>
      </c>
      <c r="C14" t="s">
        <v>17</v>
      </c>
      <c r="D14">
        <v>1</v>
      </c>
      <c r="E14">
        <v>1580</v>
      </c>
      <c r="F14">
        <v>1580</v>
      </c>
      <c r="G14">
        <v>427.52</v>
      </c>
      <c r="H14" t="s">
        <v>19</v>
      </c>
      <c r="I14" t="s">
        <v>31</v>
      </c>
      <c r="J14" t="s">
        <v>196</v>
      </c>
      <c r="K14" t="s">
        <v>178</v>
      </c>
      <c r="L14">
        <v>0.27058227848101263</v>
      </c>
      <c r="M14" t="s">
        <v>6</v>
      </c>
    </row>
    <row r="15" spans="1:13" x14ac:dyDescent="0.3">
      <c r="A15">
        <v>42</v>
      </c>
      <c r="B15" t="s">
        <v>11</v>
      </c>
      <c r="C15" t="s">
        <v>17</v>
      </c>
      <c r="D15">
        <v>3</v>
      </c>
      <c r="E15">
        <v>809</v>
      </c>
      <c r="F15">
        <v>2427</v>
      </c>
      <c r="G15">
        <v>587.78</v>
      </c>
      <c r="H15" t="s">
        <v>18</v>
      </c>
      <c r="I15" t="s">
        <v>58</v>
      </c>
      <c r="J15" t="s">
        <v>196</v>
      </c>
      <c r="K15" t="s">
        <v>187</v>
      </c>
      <c r="L15">
        <v>0.24218376596621341</v>
      </c>
      <c r="M15" t="s">
        <v>6</v>
      </c>
    </row>
    <row r="16" spans="1:13" x14ac:dyDescent="0.3">
      <c r="A16">
        <v>55</v>
      </c>
      <c r="B16" t="s">
        <v>11</v>
      </c>
      <c r="C16" t="s">
        <v>17</v>
      </c>
      <c r="D16">
        <v>2</v>
      </c>
      <c r="E16">
        <v>350</v>
      </c>
      <c r="F16">
        <v>700</v>
      </c>
      <c r="G16">
        <v>120.3</v>
      </c>
      <c r="H16" t="s">
        <v>18</v>
      </c>
      <c r="I16" t="s">
        <v>71</v>
      </c>
      <c r="J16" t="s">
        <v>196</v>
      </c>
      <c r="K16" t="s">
        <v>182</v>
      </c>
      <c r="L16">
        <v>0.17185714285714285</v>
      </c>
      <c r="M16" t="s">
        <v>6</v>
      </c>
    </row>
    <row r="17" spans="1:13" x14ac:dyDescent="0.3">
      <c r="A17">
        <v>61</v>
      </c>
      <c r="B17" t="s">
        <v>10</v>
      </c>
      <c r="C17" t="s">
        <v>17</v>
      </c>
      <c r="D17">
        <v>7</v>
      </c>
      <c r="E17">
        <v>1287</v>
      </c>
      <c r="F17">
        <v>9009</v>
      </c>
      <c r="G17">
        <v>1468.16</v>
      </c>
      <c r="H17" t="s">
        <v>19</v>
      </c>
      <c r="I17" t="s">
        <v>77</v>
      </c>
      <c r="J17" t="s">
        <v>196</v>
      </c>
      <c r="K17" t="s">
        <v>180</v>
      </c>
      <c r="L17">
        <v>0.16296592296592297</v>
      </c>
      <c r="M17" t="s">
        <v>6</v>
      </c>
    </row>
    <row r="18" spans="1:13" x14ac:dyDescent="0.3">
      <c r="A18">
        <v>62</v>
      </c>
      <c r="B18" t="s">
        <v>9</v>
      </c>
      <c r="C18" t="s">
        <v>17</v>
      </c>
      <c r="D18">
        <v>5</v>
      </c>
      <c r="E18">
        <v>466</v>
      </c>
      <c r="F18">
        <v>2330</v>
      </c>
      <c r="G18">
        <v>425.65</v>
      </c>
      <c r="H18" t="s">
        <v>19</v>
      </c>
      <c r="I18" t="s">
        <v>78</v>
      </c>
      <c r="J18" t="s">
        <v>196</v>
      </c>
      <c r="K18" t="s">
        <v>183</v>
      </c>
      <c r="L18">
        <v>0.18268240343347639</v>
      </c>
      <c r="M18" t="s">
        <v>6</v>
      </c>
    </row>
    <row r="19" spans="1:13" x14ac:dyDescent="0.3">
      <c r="A19">
        <v>64</v>
      </c>
      <c r="B19" t="s">
        <v>12</v>
      </c>
      <c r="C19" t="s">
        <v>17</v>
      </c>
      <c r="D19">
        <v>1</v>
      </c>
      <c r="E19">
        <v>1788</v>
      </c>
      <c r="F19">
        <v>1788</v>
      </c>
      <c r="G19">
        <v>129.28</v>
      </c>
      <c r="H19" t="s">
        <v>19</v>
      </c>
      <c r="I19" t="s">
        <v>80</v>
      </c>
      <c r="J19" t="s">
        <v>197</v>
      </c>
      <c r="K19" t="s">
        <v>177</v>
      </c>
      <c r="L19">
        <v>7.2304250559284119E-2</v>
      </c>
      <c r="M19" t="s">
        <v>6</v>
      </c>
    </row>
    <row r="20" spans="1:13" x14ac:dyDescent="0.3">
      <c r="A20">
        <v>66</v>
      </c>
      <c r="B20" t="s">
        <v>12</v>
      </c>
      <c r="C20" t="s">
        <v>17</v>
      </c>
      <c r="D20">
        <v>4</v>
      </c>
      <c r="E20">
        <v>1456</v>
      </c>
      <c r="F20">
        <v>5824</v>
      </c>
      <c r="G20">
        <v>908.05</v>
      </c>
      <c r="H20" t="s">
        <v>18</v>
      </c>
      <c r="I20" t="s">
        <v>82</v>
      </c>
      <c r="J20" t="s">
        <v>196</v>
      </c>
      <c r="K20" t="s">
        <v>186</v>
      </c>
      <c r="L20">
        <v>0.15591517857142856</v>
      </c>
      <c r="M20" t="s">
        <v>6</v>
      </c>
    </row>
    <row r="21" spans="1:13" x14ac:dyDescent="0.3">
      <c r="A21">
        <v>68</v>
      </c>
      <c r="B21" t="s">
        <v>12</v>
      </c>
      <c r="C21" t="s">
        <v>17</v>
      </c>
      <c r="D21">
        <v>7</v>
      </c>
      <c r="E21">
        <v>1855</v>
      </c>
      <c r="F21">
        <v>12985</v>
      </c>
      <c r="G21">
        <v>3872.5</v>
      </c>
      <c r="H21" t="s">
        <v>19</v>
      </c>
      <c r="I21" t="s">
        <v>84</v>
      </c>
      <c r="J21" t="s">
        <v>196</v>
      </c>
      <c r="K21" t="s">
        <v>180</v>
      </c>
      <c r="L21">
        <v>0.29822872545244511</v>
      </c>
      <c r="M21" t="s">
        <v>6</v>
      </c>
    </row>
    <row r="22" spans="1:13" x14ac:dyDescent="0.3">
      <c r="A22">
        <v>69</v>
      </c>
      <c r="B22" t="s">
        <v>11</v>
      </c>
      <c r="C22" t="s">
        <v>17</v>
      </c>
      <c r="D22">
        <v>5</v>
      </c>
      <c r="E22">
        <v>1007</v>
      </c>
      <c r="F22">
        <v>5035</v>
      </c>
      <c r="G22">
        <v>543.96</v>
      </c>
      <c r="H22" t="s">
        <v>20</v>
      </c>
      <c r="I22" t="s">
        <v>29</v>
      </c>
      <c r="J22" t="s">
        <v>196</v>
      </c>
      <c r="K22" t="s">
        <v>183</v>
      </c>
      <c r="L22">
        <v>0.10803574975173784</v>
      </c>
      <c r="M22" t="s">
        <v>6</v>
      </c>
    </row>
    <row r="23" spans="1:13" x14ac:dyDescent="0.3">
      <c r="A23">
        <v>71</v>
      </c>
      <c r="B23" t="s">
        <v>11</v>
      </c>
      <c r="C23" t="s">
        <v>17</v>
      </c>
      <c r="D23">
        <v>1</v>
      </c>
      <c r="E23">
        <v>1122</v>
      </c>
      <c r="F23">
        <v>1122</v>
      </c>
      <c r="G23">
        <v>268.49</v>
      </c>
      <c r="H23" t="s">
        <v>19</v>
      </c>
      <c r="I23" t="s">
        <v>86</v>
      </c>
      <c r="J23" t="s">
        <v>196</v>
      </c>
      <c r="K23" t="s">
        <v>177</v>
      </c>
      <c r="L23">
        <v>0.23929590017825314</v>
      </c>
      <c r="M23" t="s">
        <v>6</v>
      </c>
    </row>
    <row r="24" spans="1:13" x14ac:dyDescent="0.3">
      <c r="A24">
        <v>74</v>
      </c>
      <c r="B24" t="s">
        <v>9</v>
      </c>
      <c r="C24" t="s">
        <v>17</v>
      </c>
      <c r="D24">
        <v>8</v>
      </c>
      <c r="E24">
        <v>1867</v>
      </c>
      <c r="F24">
        <v>14936</v>
      </c>
      <c r="G24">
        <v>2211.38</v>
      </c>
      <c r="H24" t="s">
        <v>19</v>
      </c>
      <c r="I24" t="s">
        <v>88</v>
      </c>
      <c r="J24" t="s">
        <v>196</v>
      </c>
      <c r="K24" t="s">
        <v>188</v>
      </c>
      <c r="L24">
        <v>0.1480570433851098</v>
      </c>
      <c r="M24" t="s">
        <v>6</v>
      </c>
    </row>
    <row r="25" spans="1:13" x14ac:dyDescent="0.3">
      <c r="A25">
        <v>75</v>
      </c>
      <c r="B25" t="s">
        <v>12</v>
      </c>
      <c r="C25" t="s">
        <v>17</v>
      </c>
      <c r="D25">
        <v>6</v>
      </c>
      <c r="E25">
        <v>1314</v>
      </c>
      <c r="F25">
        <v>7884</v>
      </c>
      <c r="G25">
        <v>644.16</v>
      </c>
      <c r="H25" t="s">
        <v>19</v>
      </c>
      <c r="I25" t="s">
        <v>89</v>
      </c>
      <c r="J25" t="s">
        <v>196</v>
      </c>
      <c r="K25" t="s">
        <v>178</v>
      </c>
      <c r="L25">
        <v>8.1704718417047184E-2</v>
      </c>
      <c r="M25" t="s">
        <v>6</v>
      </c>
    </row>
    <row r="26" spans="1:13" x14ac:dyDescent="0.3">
      <c r="A26">
        <v>77</v>
      </c>
      <c r="B26" t="s">
        <v>11</v>
      </c>
      <c r="C26" t="s">
        <v>17</v>
      </c>
      <c r="D26">
        <v>8</v>
      </c>
      <c r="E26">
        <v>1494</v>
      </c>
      <c r="F26">
        <v>11952</v>
      </c>
      <c r="G26">
        <v>3506.23</v>
      </c>
      <c r="H26" t="s">
        <v>19</v>
      </c>
      <c r="I26" t="s">
        <v>91</v>
      </c>
      <c r="J26" t="s">
        <v>196</v>
      </c>
      <c r="K26" t="s">
        <v>186</v>
      </c>
      <c r="L26">
        <v>0.29335927041499332</v>
      </c>
      <c r="M26" t="s">
        <v>6</v>
      </c>
    </row>
    <row r="27" spans="1:13" x14ac:dyDescent="0.3">
      <c r="A27">
        <v>80</v>
      </c>
      <c r="B27" t="s">
        <v>11</v>
      </c>
      <c r="C27" t="s">
        <v>17</v>
      </c>
      <c r="D27">
        <v>7</v>
      </c>
      <c r="E27">
        <v>691</v>
      </c>
      <c r="F27">
        <v>4837</v>
      </c>
      <c r="G27">
        <v>970.62</v>
      </c>
      <c r="H27" t="s">
        <v>19</v>
      </c>
      <c r="I27" t="s">
        <v>93</v>
      </c>
      <c r="J27" t="s">
        <v>196</v>
      </c>
      <c r="K27" t="s">
        <v>182</v>
      </c>
      <c r="L27">
        <v>0.2006657018813314</v>
      </c>
      <c r="M27" t="s">
        <v>6</v>
      </c>
    </row>
    <row r="28" spans="1:13" x14ac:dyDescent="0.3">
      <c r="A28">
        <v>90</v>
      </c>
      <c r="B28" t="s">
        <v>13</v>
      </c>
      <c r="C28" t="s">
        <v>17</v>
      </c>
      <c r="D28">
        <v>7</v>
      </c>
      <c r="E28">
        <v>1384</v>
      </c>
      <c r="F28">
        <v>9688</v>
      </c>
      <c r="G28">
        <v>1045.01</v>
      </c>
      <c r="H28" t="s">
        <v>18</v>
      </c>
      <c r="I28" t="s">
        <v>103</v>
      </c>
      <c r="J28" t="s">
        <v>196</v>
      </c>
      <c r="K28" t="s">
        <v>186</v>
      </c>
      <c r="L28">
        <v>0.10786643270024773</v>
      </c>
      <c r="M28" t="s">
        <v>6</v>
      </c>
    </row>
    <row r="29" spans="1:13" x14ac:dyDescent="0.3">
      <c r="A29">
        <v>93</v>
      </c>
      <c r="B29" t="s">
        <v>9</v>
      </c>
      <c r="C29" t="s">
        <v>17</v>
      </c>
      <c r="D29">
        <v>7</v>
      </c>
      <c r="E29">
        <v>942</v>
      </c>
      <c r="F29">
        <v>6594</v>
      </c>
      <c r="G29">
        <v>623.28</v>
      </c>
      <c r="H29" t="s">
        <v>18</v>
      </c>
      <c r="I29" t="s">
        <v>106</v>
      </c>
      <c r="J29" t="s">
        <v>196</v>
      </c>
      <c r="K29" t="s">
        <v>185</v>
      </c>
      <c r="L29">
        <v>9.4522292993630574E-2</v>
      </c>
      <c r="M29" t="s">
        <v>6</v>
      </c>
    </row>
    <row r="30" spans="1:13" x14ac:dyDescent="0.3">
      <c r="A30">
        <v>94</v>
      </c>
      <c r="B30" t="s">
        <v>12</v>
      </c>
      <c r="C30" t="s">
        <v>17</v>
      </c>
      <c r="D30">
        <v>3</v>
      </c>
      <c r="E30">
        <v>1851</v>
      </c>
      <c r="F30">
        <v>5553</v>
      </c>
      <c r="G30">
        <v>1588.89</v>
      </c>
      <c r="H30" t="s">
        <v>18</v>
      </c>
      <c r="I30" t="s">
        <v>107</v>
      </c>
      <c r="J30" t="s">
        <v>196</v>
      </c>
      <c r="K30" t="s">
        <v>180</v>
      </c>
      <c r="L30">
        <v>0.28613182063749326</v>
      </c>
      <c r="M30" t="s">
        <v>6</v>
      </c>
    </row>
    <row r="31" spans="1:13" x14ac:dyDescent="0.3">
      <c r="A31">
        <v>95</v>
      </c>
      <c r="B31" t="s">
        <v>9</v>
      </c>
      <c r="C31" t="s">
        <v>17</v>
      </c>
      <c r="D31">
        <v>8</v>
      </c>
      <c r="E31">
        <v>857</v>
      </c>
      <c r="F31">
        <v>6856</v>
      </c>
      <c r="G31">
        <v>1123.26</v>
      </c>
      <c r="H31" t="s">
        <v>19</v>
      </c>
      <c r="I31" t="s">
        <v>108</v>
      </c>
      <c r="J31" t="s">
        <v>196</v>
      </c>
      <c r="K31" t="s">
        <v>178</v>
      </c>
      <c r="L31">
        <v>0.1638360560093349</v>
      </c>
      <c r="M31" t="s">
        <v>6</v>
      </c>
    </row>
    <row r="32" spans="1:13" x14ac:dyDescent="0.3">
      <c r="A32">
        <v>96</v>
      </c>
      <c r="B32" t="s">
        <v>9</v>
      </c>
      <c r="C32" t="s">
        <v>17</v>
      </c>
      <c r="D32">
        <v>5</v>
      </c>
      <c r="E32">
        <v>1906</v>
      </c>
      <c r="F32">
        <v>9530</v>
      </c>
      <c r="G32">
        <v>1959.24</v>
      </c>
      <c r="H32" t="s">
        <v>18</v>
      </c>
      <c r="I32" t="s">
        <v>109</v>
      </c>
      <c r="J32" t="s">
        <v>196</v>
      </c>
      <c r="K32" t="s">
        <v>184</v>
      </c>
      <c r="L32">
        <v>0.2055865687303253</v>
      </c>
      <c r="M32" t="s">
        <v>6</v>
      </c>
    </row>
    <row r="33" spans="1:13" x14ac:dyDescent="0.3">
      <c r="A33">
        <v>99</v>
      </c>
      <c r="B33" t="s">
        <v>10</v>
      </c>
      <c r="C33" t="s">
        <v>17</v>
      </c>
      <c r="D33">
        <v>4</v>
      </c>
      <c r="E33">
        <v>1403</v>
      </c>
      <c r="F33">
        <v>5612</v>
      </c>
      <c r="G33">
        <v>1660.37</v>
      </c>
      <c r="H33" t="s">
        <v>18</v>
      </c>
      <c r="I33" t="s">
        <v>112</v>
      </c>
      <c r="J33" t="s">
        <v>196</v>
      </c>
      <c r="K33" t="s">
        <v>183</v>
      </c>
      <c r="L33">
        <v>0.29586065573770493</v>
      </c>
      <c r="M33" t="s">
        <v>6</v>
      </c>
    </row>
    <row r="34" spans="1:13" x14ac:dyDescent="0.3">
      <c r="A34">
        <v>104</v>
      </c>
      <c r="B34" t="s">
        <v>13</v>
      </c>
      <c r="C34" t="s">
        <v>17</v>
      </c>
      <c r="D34">
        <v>3</v>
      </c>
      <c r="E34">
        <v>230</v>
      </c>
      <c r="F34">
        <v>690</v>
      </c>
      <c r="G34">
        <v>118.1</v>
      </c>
      <c r="H34" t="s">
        <v>20</v>
      </c>
      <c r="I34" t="s">
        <v>116</v>
      </c>
      <c r="J34" t="s">
        <v>196</v>
      </c>
      <c r="K34" t="s">
        <v>188</v>
      </c>
      <c r="L34">
        <v>0.17115942028985506</v>
      </c>
      <c r="M34" t="s">
        <v>6</v>
      </c>
    </row>
    <row r="35" spans="1:13" x14ac:dyDescent="0.3">
      <c r="A35">
        <v>106</v>
      </c>
      <c r="B35" t="s">
        <v>13</v>
      </c>
      <c r="C35" t="s">
        <v>17</v>
      </c>
      <c r="D35">
        <v>8</v>
      </c>
      <c r="E35">
        <v>500</v>
      </c>
      <c r="F35">
        <v>4000</v>
      </c>
      <c r="G35">
        <v>1106.26</v>
      </c>
      <c r="H35" t="s">
        <v>18</v>
      </c>
      <c r="I35" t="s">
        <v>117</v>
      </c>
      <c r="J35" t="s">
        <v>196</v>
      </c>
      <c r="K35" t="s">
        <v>181</v>
      </c>
      <c r="L35">
        <v>0.27656500000000001</v>
      </c>
      <c r="M35" t="s">
        <v>6</v>
      </c>
    </row>
    <row r="36" spans="1:13" x14ac:dyDescent="0.3">
      <c r="A36">
        <v>116</v>
      </c>
      <c r="B36" t="s">
        <v>10</v>
      </c>
      <c r="C36" t="s">
        <v>17</v>
      </c>
      <c r="D36">
        <v>8</v>
      </c>
      <c r="E36">
        <v>1685</v>
      </c>
      <c r="F36">
        <v>13480</v>
      </c>
      <c r="G36">
        <v>2273.73</v>
      </c>
      <c r="H36" t="s">
        <v>19</v>
      </c>
      <c r="I36" t="s">
        <v>86</v>
      </c>
      <c r="J36" t="s">
        <v>196</v>
      </c>
      <c r="K36" t="s">
        <v>177</v>
      </c>
      <c r="L36">
        <v>0.16867433234421364</v>
      </c>
      <c r="M36" t="s">
        <v>6</v>
      </c>
    </row>
    <row r="37" spans="1:13" x14ac:dyDescent="0.3">
      <c r="A37">
        <v>117</v>
      </c>
      <c r="B37" t="s">
        <v>9</v>
      </c>
      <c r="C37" t="s">
        <v>17</v>
      </c>
      <c r="D37">
        <v>6</v>
      </c>
      <c r="E37">
        <v>325</v>
      </c>
      <c r="F37">
        <v>1950</v>
      </c>
      <c r="G37">
        <v>261.87</v>
      </c>
      <c r="H37" t="s">
        <v>20</v>
      </c>
      <c r="I37" t="s">
        <v>122</v>
      </c>
      <c r="J37" t="s">
        <v>196</v>
      </c>
      <c r="K37" t="s">
        <v>188</v>
      </c>
      <c r="L37">
        <v>0.13429230769230768</v>
      </c>
      <c r="M37" t="s">
        <v>6</v>
      </c>
    </row>
    <row r="38" spans="1:13" x14ac:dyDescent="0.3">
      <c r="A38">
        <v>124</v>
      </c>
      <c r="B38" t="s">
        <v>12</v>
      </c>
      <c r="C38" t="s">
        <v>17</v>
      </c>
      <c r="D38">
        <v>2</v>
      </c>
      <c r="E38">
        <v>1297</v>
      </c>
      <c r="F38">
        <v>2594</v>
      </c>
      <c r="G38">
        <v>452.24</v>
      </c>
      <c r="H38" t="s">
        <v>18</v>
      </c>
      <c r="I38" t="s">
        <v>127</v>
      </c>
      <c r="J38" t="s">
        <v>196</v>
      </c>
      <c r="K38" t="s">
        <v>188</v>
      </c>
      <c r="L38">
        <v>0.1743407864302236</v>
      </c>
      <c r="M38" t="s">
        <v>6</v>
      </c>
    </row>
    <row r="39" spans="1:13" x14ac:dyDescent="0.3">
      <c r="A39">
        <v>126</v>
      </c>
      <c r="B39" t="s">
        <v>9</v>
      </c>
      <c r="C39" t="s">
        <v>17</v>
      </c>
      <c r="D39">
        <v>9</v>
      </c>
      <c r="E39">
        <v>109</v>
      </c>
      <c r="F39">
        <v>981</v>
      </c>
      <c r="G39">
        <v>257.04000000000002</v>
      </c>
      <c r="H39" t="s">
        <v>20</v>
      </c>
      <c r="I39" t="s">
        <v>129</v>
      </c>
      <c r="J39" t="s">
        <v>196</v>
      </c>
      <c r="K39" t="s">
        <v>184</v>
      </c>
      <c r="L39">
        <v>0.26201834862385326</v>
      </c>
      <c r="M39" t="s">
        <v>6</v>
      </c>
    </row>
    <row r="40" spans="1:13" x14ac:dyDescent="0.3">
      <c r="A40">
        <v>135</v>
      </c>
      <c r="B40" t="s">
        <v>12</v>
      </c>
      <c r="C40" t="s">
        <v>17</v>
      </c>
      <c r="D40">
        <v>7</v>
      </c>
      <c r="E40">
        <v>824</v>
      </c>
      <c r="F40">
        <v>5768</v>
      </c>
      <c r="G40">
        <v>656.35</v>
      </c>
      <c r="H40" t="s">
        <v>18</v>
      </c>
      <c r="I40" t="s">
        <v>61</v>
      </c>
      <c r="J40" t="s">
        <v>196</v>
      </c>
      <c r="K40" t="s">
        <v>177</v>
      </c>
      <c r="L40">
        <v>0.11379160887656034</v>
      </c>
      <c r="M40" t="s">
        <v>6</v>
      </c>
    </row>
    <row r="41" spans="1:13" x14ac:dyDescent="0.3">
      <c r="A41">
        <v>141</v>
      </c>
      <c r="B41" t="s">
        <v>10</v>
      </c>
      <c r="C41" t="s">
        <v>17</v>
      </c>
      <c r="D41">
        <v>7</v>
      </c>
      <c r="E41">
        <v>294</v>
      </c>
      <c r="F41">
        <v>2058</v>
      </c>
      <c r="G41">
        <v>486.55</v>
      </c>
      <c r="H41" t="s">
        <v>18</v>
      </c>
      <c r="I41" t="s">
        <v>138</v>
      </c>
      <c r="J41" t="s">
        <v>196</v>
      </c>
      <c r="K41" t="s">
        <v>183</v>
      </c>
      <c r="L41">
        <v>0.23641885325558795</v>
      </c>
      <c r="M41" t="s">
        <v>6</v>
      </c>
    </row>
    <row r="42" spans="1:13" x14ac:dyDescent="0.3">
      <c r="A42">
        <v>143</v>
      </c>
      <c r="B42" t="s">
        <v>10</v>
      </c>
      <c r="C42" t="s">
        <v>17</v>
      </c>
      <c r="D42">
        <v>2</v>
      </c>
      <c r="E42">
        <v>1958</v>
      </c>
      <c r="F42">
        <v>3916</v>
      </c>
      <c r="G42">
        <v>1156.93</v>
      </c>
      <c r="H42" t="s">
        <v>18</v>
      </c>
      <c r="I42" t="s">
        <v>139</v>
      </c>
      <c r="J42" t="s">
        <v>196</v>
      </c>
      <c r="K42" t="s">
        <v>179</v>
      </c>
      <c r="L42">
        <v>0.29543667007150154</v>
      </c>
      <c r="M42" t="s">
        <v>6</v>
      </c>
    </row>
    <row r="43" spans="1:13" x14ac:dyDescent="0.3">
      <c r="A43">
        <v>147</v>
      </c>
      <c r="B43" t="s">
        <v>13</v>
      </c>
      <c r="C43" t="s">
        <v>17</v>
      </c>
      <c r="D43">
        <v>10</v>
      </c>
      <c r="E43">
        <v>161</v>
      </c>
      <c r="F43">
        <v>1610</v>
      </c>
      <c r="G43">
        <v>351.55</v>
      </c>
      <c r="H43" t="s">
        <v>19</v>
      </c>
      <c r="I43" t="s">
        <v>140</v>
      </c>
      <c r="J43" t="s">
        <v>196</v>
      </c>
      <c r="K43" t="s">
        <v>185</v>
      </c>
      <c r="L43">
        <v>0.21835403726708075</v>
      </c>
      <c r="M43" t="s">
        <v>6</v>
      </c>
    </row>
    <row r="44" spans="1:13" x14ac:dyDescent="0.3">
      <c r="A44">
        <v>148</v>
      </c>
      <c r="B44" t="s">
        <v>11</v>
      </c>
      <c r="C44" t="s">
        <v>17</v>
      </c>
      <c r="D44">
        <v>3</v>
      </c>
      <c r="E44">
        <v>813</v>
      </c>
      <c r="F44">
        <v>2439</v>
      </c>
      <c r="G44">
        <v>549.34</v>
      </c>
      <c r="H44" t="s">
        <v>18</v>
      </c>
      <c r="I44" t="s">
        <v>141</v>
      </c>
      <c r="J44" t="s">
        <v>196</v>
      </c>
      <c r="K44" t="s">
        <v>186</v>
      </c>
      <c r="L44">
        <v>0.22523165231652317</v>
      </c>
      <c r="M44" t="s">
        <v>6</v>
      </c>
    </row>
    <row r="45" spans="1:13" x14ac:dyDescent="0.3">
      <c r="A45">
        <v>154</v>
      </c>
      <c r="B45" t="s">
        <v>9</v>
      </c>
      <c r="C45" t="s">
        <v>17</v>
      </c>
      <c r="D45">
        <v>6</v>
      </c>
      <c r="E45">
        <v>1650</v>
      </c>
      <c r="F45">
        <v>9900</v>
      </c>
      <c r="G45">
        <v>641.57000000000005</v>
      </c>
      <c r="H45" t="s">
        <v>20</v>
      </c>
      <c r="I45" t="s">
        <v>65</v>
      </c>
      <c r="J45" t="s">
        <v>196</v>
      </c>
      <c r="K45" t="s">
        <v>181</v>
      </c>
      <c r="L45">
        <v>6.4805050505050504E-2</v>
      </c>
      <c r="M45" t="s">
        <v>6</v>
      </c>
    </row>
    <row r="46" spans="1:13" x14ac:dyDescent="0.3">
      <c r="A46">
        <v>156</v>
      </c>
      <c r="B46" t="s">
        <v>13</v>
      </c>
      <c r="C46" t="s">
        <v>17</v>
      </c>
      <c r="D46">
        <v>6</v>
      </c>
      <c r="E46">
        <v>743</v>
      </c>
      <c r="F46">
        <v>4458</v>
      </c>
      <c r="G46">
        <v>696.68</v>
      </c>
      <c r="H46" t="s">
        <v>20</v>
      </c>
      <c r="I46" t="s">
        <v>76</v>
      </c>
      <c r="J46" t="s">
        <v>196</v>
      </c>
      <c r="K46" t="s">
        <v>184</v>
      </c>
      <c r="L46">
        <v>0.156276357110812</v>
      </c>
      <c r="M46" t="s">
        <v>6</v>
      </c>
    </row>
    <row r="47" spans="1:13" x14ac:dyDescent="0.3">
      <c r="A47">
        <v>157</v>
      </c>
      <c r="B47" t="s">
        <v>12</v>
      </c>
      <c r="C47" t="s">
        <v>17</v>
      </c>
      <c r="D47">
        <v>9</v>
      </c>
      <c r="E47">
        <v>1601</v>
      </c>
      <c r="F47">
        <v>14409</v>
      </c>
      <c r="G47">
        <v>3735.53</v>
      </c>
      <c r="H47" t="s">
        <v>20</v>
      </c>
      <c r="I47" t="s">
        <v>148</v>
      </c>
      <c r="J47" t="s">
        <v>196</v>
      </c>
      <c r="K47" t="s">
        <v>186</v>
      </c>
      <c r="L47">
        <v>0.25924977444652647</v>
      </c>
      <c r="M47" t="s">
        <v>6</v>
      </c>
    </row>
    <row r="48" spans="1:13" x14ac:dyDescent="0.3">
      <c r="A48">
        <v>159</v>
      </c>
      <c r="B48" t="s">
        <v>9</v>
      </c>
      <c r="C48" t="s">
        <v>17</v>
      </c>
      <c r="D48">
        <v>5</v>
      </c>
      <c r="E48">
        <v>1123</v>
      </c>
      <c r="F48">
        <v>5615</v>
      </c>
      <c r="G48">
        <v>658.99</v>
      </c>
      <c r="H48" t="s">
        <v>18</v>
      </c>
      <c r="I48" t="s">
        <v>150</v>
      </c>
      <c r="J48" t="s">
        <v>196</v>
      </c>
      <c r="K48" t="s">
        <v>184</v>
      </c>
      <c r="L48">
        <v>0.11736242208370437</v>
      </c>
      <c r="M48" t="s">
        <v>6</v>
      </c>
    </row>
    <row r="49" spans="1:13" x14ac:dyDescent="0.3">
      <c r="A49">
        <v>160</v>
      </c>
      <c r="B49" t="s">
        <v>11</v>
      </c>
      <c r="C49" t="s">
        <v>17</v>
      </c>
      <c r="D49">
        <v>6</v>
      </c>
      <c r="E49">
        <v>914</v>
      </c>
      <c r="F49">
        <v>5484</v>
      </c>
      <c r="G49">
        <v>350.54</v>
      </c>
      <c r="H49" t="s">
        <v>19</v>
      </c>
      <c r="I49" t="s">
        <v>92</v>
      </c>
      <c r="J49" t="s">
        <v>196</v>
      </c>
      <c r="K49" t="s">
        <v>188</v>
      </c>
      <c r="L49">
        <v>6.392049598832969E-2</v>
      </c>
      <c r="M49" t="s">
        <v>6</v>
      </c>
    </row>
    <row r="50" spans="1:13" x14ac:dyDescent="0.3">
      <c r="A50">
        <v>161</v>
      </c>
      <c r="B50" t="s">
        <v>10</v>
      </c>
      <c r="C50" t="s">
        <v>17</v>
      </c>
      <c r="D50">
        <v>9</v>
      </c>
      <c r="E50">
        <v>928</v>
      </c>
      <c r="F50">
        <v>8352</v>
      </c>
      <c r="G50">
        <v>1061.3800000000001</v>
      </c>
      <c r="H50" t="s">
        <v>20</v>
      </c>
      <c r="I50" t="s">
        <v>29</v>
      </c>
      <c r="J50" t="s">
        <v>196</v>
      </c>
      <c r="K50" t="s">
        <v>183</v>
      </c>
      <c r="L50">
        <v>0.12708093869731801</v>
      </c>
      <c r="M50" t="s">
        <v>6</v>
      </c>
    </row>
    <row r="51" spans="1:13" x14ac:dyDescent="0.3">
      <c r="A51">
        <v>166</v>
      </c>
      <c r="B51" t="s">
        <v>10</v>
      </c>
      <c r="C51" t="s">
        <v>17</v>
      </c>
      <c r="D51">
        <v>3</v>
      </c>
      <c r="E51">
        <v>1903</v>
      </c>
      <c r="F51">
        <v>5709</v>
      </c>
      <c r="G51">
        <v>1287.97</v>
      </c>
      <c r="H51" t="s">
        <v>19</v>
      </c>
      <c r="I51" t="s">
        <v>154</v>
      </c>
      <c r="J51" t="s">
        <v>196</v>
      </c>
      <c r="K51" t="s">
        <v>182</v>
      </c>
      <c r="L51">
        <v>0.22560343317568751</v>
      </c>
      <c r="M51" t="s">
        <v>6</v>
      </c>
    </row>
    <row r="52" spans="1:13" x14ac:dyDescent="0.3">
      <c r="A52">
        <v>167</v>
      </c>
      <c r="B52" t="s">
        <v>10</v>
      </c>
      <c r="C52" t="s">
        <v>17</v>
      </c>
      <c r="D52">
        <v>2</v>
      </c>
      <c r="E52">
        <v>1493</v>
      </c>
      <c r="F52">
        <v>2986</v>
      </c>
      <c r="G52">
        <v>396.73</v>
      </c>
      <c r="H52" t="s">
        <v>19</v>
      </c>
      <c r="I52" t="s">
        <v>64</v>
      </c>
      <c r="J52" t="s">
        <v>196</v>
      </c>
      <c r="K52" t="s">
        <v>183</v>
      </c>
      <c r="L52">
        <v>0.13286336235766913</v>
      </c>
      <c r="M52" t="s">
        <v>6</v>
      </c>
    </row>
    <row r="53" spans="1:13" x14ac:dyDescent="0.3">
      <c r="A53">
        <v>170</v>
      </c>
      <c r="B53" t="s">
        <v>9</v>
      </c>
      <c r="C53" t="s">
        <v>17</v>
      </c>
      <c r="D53">
        <v>5</v>
      </c>
      <c r="E53">
        <v>848</v>
      </c>
      <c r="F53">
        <v>4240</v>
      </c>
      <c r="G53">
        <v>1242.8900000000001</v>
      </c>
      <c r="H53" t="s">
        <v>20</v>
      </c>
      <c r="I53" t="s">
        <v>147</v>
      </c>
      <c r="J53" t="s">
        <v>196</v>
      </c>
      <c r="K53" t="s">
        <v>182</v>
      </c>
      <c r="L53">
        <v>0.29313443396226418</v>
      </c>
      <c r="M53" t="s">
        <v>6</v>
      </c>
    </row>
    <row r="54" spans="1:13" x14ac:dyDescent="0.3">
      <c r="A54">
        <v>185</v>
      </c>
      <c r="B54" t="s">
        <v>11</v>
      </c>
      <c r="C54" t="s">
        <v>17</v>
      </c>
      <c r="D54">
        <v>8</v>
      </c>
      <c r="E54">
        <v>1177</v>
      </c>
      <c r="F54">
        <v>9416</v>
      </c>
      <c r="G54">
        <v>997.57</v>
      </c>
      <c r="H54" t="s">
        <v>19</v>
      </c>
      <c r="I54" t="s">
        <v>161</v>
      </c>
      <c r="J54" t="s">
        <v>196</v>
      </c>
      <c r="K54" t="s">
        <v>187</v>
      </c>
      <c r="L54">
        <v>0.10594413763806287</v>
      </c>
      <c r="M54" t="s">
        <v>6</v>
      </c>
    </row>
    <row r="55" spans="1:13" x14ac:dyDescent="0.3">
      <c r="A55">
        <v>187</v>
      </c>
      <c r="B55" t="s">
        <v>10</v>
      </c>
      <c r="C55" t="s">
        <v>17</v>
      </c>
      <c r="D55">
        <v>6</v>
      </c>
      <c r="E55">
        <v>441</v>
      </c>
      <c r="F55">
        <v>2646</v>
      </c>
      <c r="G55">
        <v>422.9</v>
      </c>
      <c r="H55" t="s">
        <v>20</v>
      </c>
      <c r="I55" t="s">
        <v>88</v>
      </c>
      <c r="J55" t="s">
        <v>196</v>
      </c>
      <c r="K55" t="s">
        <v>188</v>
      </c>
      <c r="L55">
        <v>0.15982615268329553</v>
      </c>
      <c r="M55" t="s">
        <v>6</v>
      </c>
    </row>
    <row r="56" spans="1:13" x14ac:dyDescent="0.3">
      <c r="A56">
        <v>190</v>
      </c>
      <c r="B56" t="s">
        <v>11</v>
      </c>
      <c r="C56" t="s">
        <v>17</v>
      </c>
      <c r="D56">
        <v>8</v>
      </c>
      <c r="E56">
        <v>1437</v>
      </c>
      <c r="F56">
        <v>11496</v>
      </c>
      <c r="G56">
        <v>2008.54</v>
      </c>
      <c r="H56" t="s">
        <v>19</v>
      </c>
      <c r="I56" t="s">
        <v>164</v>
      </c>
      <c r="J56" t="s">
        <v>196</v>
      </c>
      <c r="K56" t="s">
        <v>185</v>
      </c>
      <c r="L56">
        <v>0.17471642310368823</v>
      </c>
      <c r="M56" t="s">
        <v>6</v>
      </c>
    </row>
    <row r="57" spans="1:13" x14ac:dyDescent="0.3">
      <c r="A57">
        <v>192</v>
      </c>
      <c r="B57" t="s">
        <v>13</v>
      </c>
      <c r="C57" t="s">
        <v>17</v>
      </c>
      <c r="D57">
        <v>7</v>
      </c>
      <c r="E57">
        <v>1088</v>
      </c>
      <c r="F57">
        <v>7616</v>
      </c>
      <c r="G57">
        <v>2243.62</v>
      </c>
      <c r="H57" t="s">
        <v>20</v>
      </c>
      <c r="I57" t="s">
        <v>45</v>
      </c>
      <c r="J57" t="s">
        <v>196</v>
      </c>
      <c r="K57" t="s">
        <v>186</v>
      </c>
      <c r="L57">
        <v>0.29459296218487391</v>
      </c>
      <c r="M57" t="s">
        <v>6</v>
      </c>
    </row>
    <row r="58" spans="1:13" x14ac:dyDescent="0.3">
      <c r="A58">
        <v>198</v>
      </c>
      <c r="B58" t="s">
        <v>9</v>
      </c>
      <c r="C58" t="s">
        <v>17</v>
      </c>
      <c r="D58">
        <v>5</v>
      </c>
      <c r="E58">
        <v>1209</v>
      </c>
      <c r="F58">
        <v>6045</v>
      </c>
      <c r="G58">
        <v>1385.77</v>
      </c>
      <c r="H58" t="s">
        <v>19</v>
      </c>
      <c r="I58" t="s">
        <v>137</v>
      </c>
      <c r="J58" t="s">
        <v>196</v>
      </c>
      <c r="K58" t="s">
        <v>182</v>
      </c>
      <c r="L58">
        <v>0.22924234904880067</v>
      </c>
      <c r="M58" t="s">
        <v>6</v>
      </c>
    </row>
    <row r="59" spans="1:13" x14ac:dyDescent="0.3">
      <c r="A59">
        <v>200</v>
      </c>
      <c r="B59" t="s">
        <v>12</v>
      </c>
      <c r="C59" t="s">
        <v>17</v>
      </c>
      <c r="D59">
        <v>5</v>
      </c>
      <c r="E59">
        <v>465</v>
      </c>
      <c r="F59">
        <v>2325</v>
      </c>
      <c r="G59">
        <v>280.77</v>
      </c>
      <c r="H59" t="s">
        <v>19</v>
      </c>
      <c r="I59" t="s">
        <v>103</v>
      </c>
      <c r="J59" t="s">
        <v>196</v>
      </c>
      <c r="K59" t="s">
        <v>186</v>
      </c>
      <c r="L59">
        <v>0.12076129032258064</v>
      </c>
      <c r="M59" t="s">
        <v>6</v>
      </c>
    </row>
    <row r="60" spans="1:13" x14ac:dyDescent="0.3">
      <c r="A60">
        <v>2</v>
      </c>
      <c r="B60" t="s">
        <v>9</v>
      </c>
      <c r="C60" t="s">
        <v>15</v>
      </c>
      <c r="D60">
        <v>9</v>
      </c>
      <c r="E60">
        <v>1733</v>
      </c>
      <c r="F60">
        <v>15597</v>
      </c>
      <c r="G60">
        <v>3483.36</v>
      </c>
      <c r="H60" t="s">
        <v>19</v>
      </c>
      <c r="I60" t="s">
        <v>22</v>
      </c>
      <c r="J60" t="s">
        <v>196</v>
      </c>
      <c r="K60" t="s">
        <v>181</v>
      </c>
      <c r="L60">
        <v>0.22333525678015004</v>
      </c>
      <c r="M60" t="s">
        <v>6</v>
      </c>
    </row>
    <row r="61" spans="1:13" x14ac:dyDescent="0.3">
      <c r="A61">
        <v>3</v>
      </c>
      <c r="B61" t="s">
        <v>10</v>
      </c>
      <c r="C61" t="s">
        <v>15</v>
      </c>
      <c r="D61">
        <v>10</v>
      </c>
      <c r="E61">
        <v>1777</v>
      </c>
      <c r="F61">
        <v>17770</v>
      </c>
      <c r="G61">
        <v>3116.78</v>
      </c>
      <c r="H61" t="s">
        <v>18</v>
      </c>
      <c r="I61" t="s">
        <v>23</v>
      </c>
      <c r="J61" t="s">
        <v>196</v>
      </c>
      <c r="K61" t="s">
        <v>179</v>
      </c>
      <c r="L61">
        <v>0.1753956105796286</v>
      </c>
      <c r="M61" t="s">
        <v>6</v>
      </c>
    </row>
    <row r="62" spans="1:13" x14ac:dyDescent="0.3">
      <c r="A62">
        <v>6</v>
      </c>
      <c r="B62" t="s">
        <v>12</v>
      </c>
      <c r="C62" t="s">
        <v>15</v>
      </c>
      <c r="D62">
        <v>10</v>
      </c>
      <c r="E62">
        <v>630</v>
      </c>
      <c r="F62">
        <v>6300</v>
      </c>
      <c r="G62">
        <v>1435.55</v>
      </c>
      <c r="H62" t="s">
        <v>20</v>
      </c>
      <c r="I62" t="s">
        <v>26</v>
      </c>
      <c r="J62" t="s">
        <v>196</v>
      </c>
      <c r="K62" t="s">
        <v>181</v>
      </c>
      <c r="L62">
        <v>0.22786507936507935</v>
      </c>
      <c r="M62" t="s">
        <v>6</v>
      </c>
    </row>
    <row r="63" spans="1:13" x14ac:dyDescent="0.3">
      <c r="A63">
        <v>7</v>
      </c>
      <c r="B63" t="s">
        <v>12</v>
      </c>
      <c r="C63" t="s">
        <v>15</v>
      </c>
      <c r="D63">
        <v>7</v>
      </c>
      <c r="E63">
        <v>133</v>
      </c>
      <c r="F63">
        <v>931</v>
      </c>
      <c r="G63">
        <v>179.06</v>
      </c>
      <c r="H63" t="s">
        <v>18</v>
      </c>
      <c r="I63" t="s">
        <v>27</v>
      </c>
      <c r="J63" t="s">
        <v>196</v>
      </c>
      <c r="K63" t="s">
        <v>182</v>
      </c>
      <c r="L63">
        <v>0.19233082706766919</v>
      </c>
      <c r="M63" t="s">
        <v>6</v>
      </c>
    </row>
    <row r="64" spans="1:13" x14ac:dyDescent="0.3">
      <c r="A64">
        <v>10</v>
      </c>
      <c r="B64" t="s">
        <v>9</v>
      </c>
      <c r="C64" t="s">
        <v>15</v>
      </c>
      <c r="D64">
        <v>2</v>
      </c>
      <c r="E64">
        <v>1464</v>
      </c>
      <c r="F64">
        <v>2928</v>
      </c>
      <c r="G64">
        <v>816.81</v>
      </c>
      <c r="H64" t="s">
        <v>18</v>
      </c>
      <c r="I64" t="s">
        <v>30</v>
      </c>
      <c r="J64" t="s">
        <v>196</v>
      </c>
      <c r="K64" t="s">
        <v>186</v>
      </c>
      <c r="L64">
        <v>0.27896516393442622</v>
      </c>
      <c r="M64" t="s">
        <v>6</v>
      </c>
    </row>
    <row r="65" spans="1:13" x14ac:dyDescent="0.3">
      <c r="A65">
        <v>16</v>
      </c>
      <c r="B65" t="s">
        <v>11</v>
      </c>
      <c r="C65" t="s">
        <v>15</v>
      </c>
      <c r="D65">
        <v>4</v>
      </c>
      <c r="E65">
        <v>602</v>
      </c>
      <c r="F65">
        <v>2408</v>
      </c>
      <c r="G65">
        <v>176.03</v>
      </c>
      <c r="H65" t="s">
        <v>19</v>
      </c>
      <c r="I65" t="s">
        <v>36</v>
      </c>
      <c r="J65" t="s">
        <v>196</v>
      </c>
      <c r="K65" t="s">
        <v>188</v>
      </c>
      <c r="L65">
        <v>7.3102159468438538E-2</v>
      </c>
      <c r="M65" t="s">
        <v>6</v>
      </c>
    </row>
    <row r="66" spans="1:13" x14ac:dyDescent="0.3">
      <c r="A66">
        <v>17</v>
      </c>
      <c r="B66" t="s">
        <v>9</v>
      </c>
      <c r="C66" t="s">
        <v>15</v>
      </c>
      <c r="D66">
        <v>10</v>
      </c>
      <c r="E66">
        <v>1731</v>
      </c>
      <c r="F66">
        <v>17310</v>
      </c>
      <c r="G66">
        <v>1620.1</v>
      </c>
      <c r="H66" t="s">
        <v>19</v>
      </c>
      <c r="I66" t="s">
        <v>37</v>
      </c>
      <c r="J66" t="s">
        <v>196</v>
      </c>
      <c r="K66" t="s">
        <v>181</v>
      </c>
      <c r="L66">
        <v>9.3593298671288266E-2</v>
      </c>
      <c r="M66" t="s">
        <v>6</v>
      </c>
    </row>
    <row r="67" spans="1:13" x14ac:dyDescent="0.3">
      <c r="A67">
        <v>22</v>
      </c>
      <c r="B67" t="s">
        <v>13</v>
      </c>
      <c r="C67" t="s">
        <v>15</v>
      </c>
      <c r="D67">
        <v>1</v>
      </c>
      <c r="E67">
        <v>1572</v>
      </c>
      <c r="F67">
        <v>1572</v>
      </c>
      <c r="G67">
        <v>213.41</v>
      </c>
      <c r="H67" t="s">
        <v>19</v>
      </c>
      <c r="I67" t="s">
        <v>42</v>
      </c>
      <c r="J67" t="s">
        <v>196</v>
      </c>
      <c r="K67" t="s">
        <v>179</v>
      </c>
      <c r="L67">
        <v>0.13575699745547073</v>
      </c>
      <c r="M67" t="s">
        <v>6</v>
      </c>
    </row>
    <row r="68" spans="1:13" x14ac:dyDescent="0.3">
      <c r="A68">
        <v>24</v>
      </c>
      <c r="B68" t="s">
        <v>11</v>
      </c>
      <c r="C68" t="s">
        <v>15</v>
      </c>
      <c r="D68">
        <v>3</v>
      </c>
      <c r="E68">
        <v>107</v>
      </c>
      <c r="F68">
        <v>321</v>
      </c>
      <c r="G68">
        <v>18.96</v>
      </c>
      <c r="H68" t="s">
        <v>18</v>
      </c>
      <c r="I68" t="s">
        <v>44</v>
      </c>
      <c r="J68" t="s">
        <v>196</v>
      </c>
      <c r="K68" t="s">
        <v>181</v>
      </c>
      <c r="L68">
        <v>5.9065420560747664E-2</v>
      </c>
      <c r="M68" t="s">
        <v>6</v>
      </c>
    </row>
    <row r="69" spans="1:13" x14ac:dyDescent="0.3">
      <c r="A69">
        <v>28</v>
      </c>
      <c r="B69" t="s">
        <v>11</v>
      </c>
      <c r="C69" t="s">
        <v>15</v>
      </c>
      <c r="D69">
        <v>6</v>
      </c>
      <c r="E69">
        <v>188</v>
      </c>
      <c r="F69">
        <v>1128</v>
      </c>
      <c r="G69">
        <v>252.16</v>
      </c>
      <c r="H69" t="s">
        <v>20</v>
      </c>
      <c r="I69" t="s">
        <v>48</v>
      </c>
      <c r="J69" t="s">
        <v>196</v>
      </c>
      <c r="K69" t="s">
        <v>181</v>
      </c>
      <c r="L69">
        <v>0.22354609929078015</v>
      </c>
      <c r="M69" t="s">
        <v>6</v>
      </c>
    </row>
    <row r="70" spans="1:13" x14ac:dyDescent="0.3">
      <c r="A70">
        <v>30</v>
      </c>
      <c r="B70" t="s">
        <v>10</v>
      </c>
      <c r="C70" t="s">
        <v>15</v>
      </c>
      <c r="D70">
        <v>3</v>
      </c>
      <c r="E70">
        <v>403</v>
      </c>
      <c r="F70">
        <v>1209</v>
      </c>
      <c r="G70">
        <v>229.32</v>
      </c>
      <c r="H70" t="s">
        <v>18</v>
      </c>
      <c r="I70" t="s">
        <v>50</v>
      </c>
      <c r="J70" t="s">
        <v>196</v>
      </c>
      <c r="K70" t="s">
        <v>180</v>
      </c>
      <c r="L70">
        <v>0.1896774193548387</v>
      </c>
      <c r="M70" t="s">
        <v>6</v>
      </c>
    </row>
    <row r="71" spans="1:13" x14ac:dyDescent="0.3">
      <c r="A71">
        <v>33</v>
      </c>
      <c r="B71" t="s">
        <v>13</v>
      </c>
      <c r="C71" t="s">
        <v>15</v>
      </c>
      <c r="D71">
        <v>3</v>
      </c>
      <c r="E71">
        <v>1426</v>
      </c>
      <c r="F71">
        <v>4278</v>
      </c>
      <c r="G71">
        <v>441.2</v>
      </c>
      <c r="H71" t="s">
        <v>19</v>
      </c>
      <c r="I71" t="s">
        <v>52</v>
      </c>
      <c r="J71" t="s">
        <v>196</v>
      </c>
      <c r="K71" t="s">
        <v>183</v>
      </c>
      <c r="L71">
        <v>0.10313230481533427</v>
      </c>
      <c r="M71" t="s">
        <v>6</v>
      </c>
    </row>
    <row r="72" spans="1:13" x14ac:dyDescent="0.3">
      <c r="A72">
        <v>36</v>
      </c>
      <c r="B72" t="s">
        <v>11</v>
      </c>
      <c r="C72" t="s">
        <v>15</v>
      </c>
      <c r="D72">
        <v>9</v>
      </c>
      <c r="E72">
        <v>883</v>
      </c>
      <c r="F72">
        <v>7947</v>
      </c>
      <c r="G72">
        <v>1028.19</v>
      </c>
      <c r="H72" t="s">
        <v>18</v>
      </c>
      <c r="I72" t="s">
        <v>54</v>
      </c>
      <c r="J72" t="s">
        <v>196</v>
      </c>
      <c r="K72" t="s">
        <v>185</v>
      </c>
      <c r="L72">
        <v>0.12938089845224612</v>
      </c>
      <c r="M72" t="s">
        <v>6</v>
      </c>
    </row>
    <row r="73" spans="1:13" x14ac:dyDescent="0.3">
      <c r="A73">
        <v>44</v>
      </c>
      <c r="B73" t="s">
        <v>10</v>
      </c>
      <c r="C73" t="s">
        <v>15</v>
      </c>
      <c r="D73">
        <v>7</v>
      </c>
      <c r="E73">
        <v>1644</v>
      </c>
      <c r="F73">
        <v>11508</v>
      </c>
      <c r="G73">
        <v>1210.03</v>
      </c>
      <c r="H73" t="s">
        <v>19</v>
      </c>
      <c r="I73" t="s">
        <v>60</v>
      </c>
      <c r="J73" t="s">
        <v>196</v>
      </c>
      <c r="K73" t="s">
        <v>188</v>
      </c>
      <c r="L73">
        <v>0.10514685436218282</v>
      </c>
      <c r="M73" t="s">
        <v>6</v>
      </c>
    </row>
    <row r="74" spans="1:13" x14ac:dyDescent="0.3">
      <c r="A74">
        <v>45</v>
      </c>
      <c r="B74" t="s">
        <v>13</v>
      </c>
      <c r="C74" t="s">
        <v>15</v>
      </c>
      <c r="D74">
        <v>2</v>
      </c>
      <c r="E74">
        <v>569</v>
      </c>
      <c r="F74">
        <v>1138</v>
      </c>
      <c r="G74">
        <v>69.48</v>
      </c>
      <c r="H74" t="s">
        <v>20</v>
      </c>
      <c r="I74" t="s">
        <v>61</v>
      </c>
      <c r="J74" t="s">
        <v>196</v>
      </c>
      <c r="K74" t="s">
        <v>177</v>
      </c>
      <c r="L74">
        <v>6.105448154657294E-2</v>
      </c>
      <c r="M74" t="s">
        <v>6</v>
      </c>
    </row>
    <row r="75" spans="1:13" x14ac:dyDescent="0.3">
      <c r="A75">
        <v>49</v>
      </c>
      <c r="B75" t="s">
        <v>11</v>
      </c>
      <c r="C75" t="s">
        <v>15</v>
      </c>
      <c r="D75">
        <v>5</v>
      </c>
      <c r="E75">
        <v>438</v>
      </c>
      <c r="F75">
        <v>2190</v>
      </c>
      <c r="G75">
        <v>182.86</v>
      </c>
      <c r="H75" t="s">
        <v>18</v>
      </c>
      <c r="I75" t="s">
        <v>65</v>
      </c>
      <c r="J75" t="s">
        <v>196</v>
      </c>
      <c r="K75" t="s">
        <v>181</v>
      </c>
      <c r="L75">
        <v>8.3497716894977175E-2</v>
      </c>
      <c r="M75" t="s">
        <v>6</v>
      </c>
    </row>
    <row r="76" spans="1:13" x14ac:dyDescent="0.3">
      <c r="A76">
        <v>50</v>
      </c>
      <c r="B76" t="s">
        <v>11</v>
      </c>
      <c r="C76" t="s">
        <v>15</v>
      </c>
      <c r="D76">
        <v>10</v>
      </c>
      <c r="E76">
        <v>1543</v>
      </c>
      <c r="F76">
        <v>15430</v>
      </c>
      <c r="G76">
        <v>3179.76</v>
      </c>
      <c r="H76" t="s">
        <v>18</v>
      </c>
      <c r="I76" t="s">
        <v>66</v>
      </c>
      <c r="J76" t="s">
        <v>196</v>
      </c>
      <c r="K76" t="s">
        <v>184</v>
      </c>
      <c r="L76">
        <v>0.20607647440051849</v>
      </c>
      <c r="M76" t="s">
        <v>6</v>
      </c>
    </row>
    <row r="77" spans="1:13" x14ac:dyDescent="0.3">
      <c r="A77">
        <v>52</v>
      </c>
      <c r="B77" t="s">
        <v>12</v>
      </c>
      <c r="C77" t="s">
        <v>15</v>
      </c>
      <c r="D77">
        <v>1</v>
      </c>
      <c r="E77">
        <v>851</v>
      </c>
      <c r="F77">
        <v>851</v>
      </c>
      <c r="G77">
        <v>123.53</v>
      </c>
      <c r="H77" t="s">
        <v>19</v>
      </c>
      <c r="I77" t="s">
        <v>68</v>
      </c>
      <c r="J77" t="s">
        <v>196</v>
      </c>
      <c r="K77" t="s">
        <v>188</v>
      </c>
      <c r="L77">
        <v>0.14515863689776734</v>
      </c>
      <c r="M77" t="s">
        <v>6</v>
      </c>
    </row>
    <row r="78" spans="1:13" x14ac:dyDescent="0.3">
      <c r="A78">
        <v>56</v>
      </c>
      <c r="B78" t="s">
        <v>10</v>
      </c>
      <c r="C78" t="s">
        <v>15</v>
      </c>
      <c r="D78">
        <v>8</v>
      </c>
      <c r="E78">
        <v>664</v>
      </c>
      <c r="F78">
        <v>5312</v>
      </c>
      <c r="G78">
        <v>1465.62</v>
      </c>
      <c r="H78" t="s">
        <v>19</v>
      </c>
      <c r="I78" t="s">
        <v>72</v>
      </c>
      <c r="J78" t="s">
        <v>196</v>
      </c>
      <c r="K78" t="s">
        <v>183</v>
      </c>
      <c r="L78">
        <v>0.27590737951807226</v>
      </c>
      <c r="M78" t="s">
        <v>6</v>
      </c>
    </row>
    <row r="79" spans="1:13" x14ac:dyDescent="0.3">
      <c r="A79">
        <v>57</v>
      </c>
      <c r="B79" t="s">
        <v>11</v>
      </c>
      <c r="C79" t="s">
        <v>15</v>
      </c>
      <c r="D79">
        <v>1</v>
      </c>
      <c r="E79">
        <v>537</v>
      </c>
      <c r="F79">
        <v>537</v>
      </c>
      <c r="G79">
        <v>79.430000000000007</v>
      </c>
      <c r="H79" t="s">
        <v>20</v>
      </c>
      <c r="I79" t="s">
        <v>73</v>
      </c>
      <c r="J79" t="s">
        <v>196</v>
      </c>
      <c r="K79" t="s">
        <v>179</v>
      </c>
      <c r="L79">
        <v>0.14791433891992553</v>
      </c>
      <c r="M79" t="s">
        <v>6</v>
      </c>
    </row>
    <row r="80" spans="1:13" x14ac:dyDescent="0.3">
      <c r="A80">
        <v>63</v>
      </c>
      <c r="B80" t="s">
        <v>11</v>
      </c>
      <c r="C80" t="s">
        <v>15</v>
      </c>
      <c r="D80">
        <v>2</v>
      </c>
      <c r="E80">
        <v>1686</v>
      </c>
      <c r="F80">
        <v>3372</v>
      </c>
      <c r="G80">
        <v>933.74</v>
      </c>
      <c r="H80" t="s">
        <v>20</v>
      </c>
      <c r="I80" t="s">
        <v>79</v>
      </c>
      <c r="J80" t="s">
        <v>196</v>
      </c>
      <c r="K80" t="s">
        <v>180</v>
      </c>
      <c r="L80">
        <v>0.27690984578884936</v>
      </c>
      <c r="M80" t="s">
        <v>6</v>
      </c>
    </row>
    <row r="81" spans="1:13" x14ac:dyDescent="0.3">
      <c r="A81">
        <v>67</v>
      </c>
      <c r="B81" t="s">
        <v>9</v>
      </c>
      <c r="C81" t="s">
        <v>15</v>
      </c>
      <c r="D81">
        <v>2</v>
      </c>
      <c r="E81">
        <v>942</v>
      </c>
      <c r="F81">
        <v>1884</v>
      </c>
      <c r="G81">
        <v>215.87</v>
      </c>
      <c r="H81" t="s">
        <v>18</v>
      </c>
      <c r="I81" t="s">
        <v>83</v>
      </c>
      <c r="J81" t="s">
        <v>196</v>
      </c>
      <c r="K81" t="s">
        <v>181</v>
      </c>
      <c r="L81">
        <v>0.11458067940552018</v>
      </c>
      <c r="M81" t="s">
        <v>6</v>
      </c>
    </row>
    <row r="82" spans="1:13" x14ac:dyDescent="0.3">
      <c r="A82">
        <v>73</v>
      </c>
      <c r="B82" t="s">
        <v>10</v>
      </c>
      <c r="C82" t="s">
        <v>15</v>
      </c>
      <c r="D82">
        <v>2</v>
      </c>
      <c r="E82">
        <v>897</v>
      </c>
      <c r="F82">
        <v>1794</v>
      </c>
      <c r="G82">
        <v>443.33</v>
      </c>
      <c r="H82" t="s">
        <v>18</v>
      </c>
      <c r="I82" t="s">
        <v>61</v>
      </c>
      <c r="J82" t="s">
        <v>196</v>
      </c>
      <c r="K82" t="s">
        <v>177</v>
      </c>
      <c r="L82">
        <v>0.24711817168338907</v>
      </c>
      <c r="M82" t="s">
        <v>6</v>
      </c>
    </row>
    <row r="83" spans="1:13" x14ac:dyDescent="0.3">
      <c r="A83">
        <v>76</v>
      </c>
      <c r="B83" t="s">
        <v>11</v>
      </c>
      <c r="C83" t="s">
        <v>15</v>
      </c>
      <c r="D83">
        <v>10</v>
      </c>
      <c r="E83">
        <v>819</v>
      </c>
      <c r="F83">
        <v>8190</v>
      </c>
      <c r="G83">
        <v>2031.26</v>
      </c>
      <c r="H83" t="s">
        <v>18</v>
      </c>
      <c r="I83" t="s">
        <v>90</v>
      </c>
      <c r="J83" t="s">
        <v>196</v>
      </c>
      <c r="K83" t="s">
        <v>184</v>
      </c>
      <c r="L83">
        <v>0.24801709401709401</v>
      </c>
      <c r="M83" t="s">
        <v>6</v>
      </c>
    </row>
    <row r="84" spans="1:13" x14ac:dyDescent="0.3">
      <c r="A84">
        <v>78</v>
      </c>
      <c r="B84" t="s">
        <v>11</v>
      </c>
      <c r="C84" t="s">
        <v>15</v>
      </c>
      <c r="D84">
        <v>10</v>
      </c>
      <c r="E84">
        <v>1946</v>
      </c>
      <c r="F84">
        <v>19460</v>
      </c>
      <c r="G84">
        <v>4003.2</v>
      </c>
      <c r="H84" t="s">
        <v>18</v>
      </c>
      <c r="I84" t="s">
        <v>92</v>
      </c>
      <c r="J84" t="s">
        <v>196</v>
      </c>
      <c r="K84" t="s">
        <v>188</v>
      </c>
      <c r="L84">
        <v>0.20571428571428571</v>
      </c>
      <c r="M84" t="s">
        <v>6</v>
      </c>
    </row>
    <row r="85" spans="1:13" x14ac:dyDescent="0.3">
      <c r="A85">
        <v>79</v>
      </c>
      <c r="B85" t="s">
        <v>9</v>
      </c>
      <c r="C85" t="s">
        <v>15</v>
      </c>
      <c r="D85">
        <v>6</v>
      </c>
      <c r="E85">
        <v>820</v>
      </c>
      <c r="F85">
        <v>4920</v>
      </c>
      <c r="G85">
        <v>1284.5899999999999</v>
      </c>
      <c r="H85" t="s">
        <v>18</v>
      </c>
      <c r="I85" t="s">
        <v>76</v>
      </c>
      <c r="J85" t="s">
        <v>196</v>
      </c>
      <c r="K85" t="s">
        <v>184</v>
      </c>
      <c r="L85">
        <v>0.26109552845528455</v>
      </c>
      <c r="M85" t="s">
        <v>6</v>
      </c>
    </row>
    <row r="86" spans="1:13" x14ac:dyDescent="0.3">
      <c r="A86">
        <v>81</v>
      </c>
      <c r="B86" t="s">
        <v>10</v>
      </c>
      <c r="C86" t="s">
        <v>15</v>
      </c>
      <c r="D86">
        <v>5</v>
      </c>
      <c r="E86">
        <v>1466</v>
      </c>
      <c r="F86">
        <v>7330</v>
      </c>
      <c r="G86">
        <v>2069.44</v>
      </c>
      <c r="H86" t="s">
        <v>18</v>
      </c>
      <c r="I86" t="s">
        <v>94</v>
      </c>
      <c r="J86" t="s">
        <v>196</v>
      </c>
      <c r="K86" t="s">
        <v>177</v>
      </c>
      <c r="L86">
        <v>0.28232469304229196</v>
      </c>
      <c r="M86" t="s">
        <v>6</v>
      </c>
    </row>
    <row r="87" spans="1:13" x14ac:dyDescent="0.3">
      <c r="A87">
        <v>83</v>
      </c>
      <c r="B87" t="s">
        <v>11</v>
      </c>
      <c r="C87" t="s">
        <v>15</v>
      </c>
      <c r="D87">
        <v>4</v>
      </c>
      <c r="E87">
        <v>557</v>
      </c>
      <c r="F87">
        <v>2228</v>
      </c>
      <c r="G87">
        <v>665.28</v>
      </c>
      <c r="H87" t="s">
        <v>18</v>
      </c>
      <c r="I87" t="s">
        <v>96</v>
      </c>
      <c r="J87" t="s">
        <v>196</v>
      </c>
      <c r="K87" t="s">
        <v>186</v>
      </c>
      <c r="L87">
        <v>0.29859964093357272</v>
      </c>
      <c r="M87" t="s">
        <v>6</v>
      </c>
    </row>
    <row r="88" spans="1:13" x14ac:dyDescent="0.3">
      <c r="A88">
        <v>84</v>
      </c>
      <c r="B88" t="s">
        <v>11</v>
      </c>
      <c r="C88" t="s">
        <v>15</v>
      </c>
      <c r="D88">
        <v>9</v>
      </c>
      <c r="E88">
        <v>1589</v>
      </c>
      <c r="F88">
        <v>14301</v>
      </c>
      <c r="G88">
        <v>3346.12</v>
      </c>
      <c r="H88" t="s">
        <v>19</v>
      </c>
      <c r="I88" t="s">
        <v>97</v>
      </c>
      <c r="J88" t="s">
        <v>196</v>
      </c>
      <c r="K88" t="s">
        <v>181</v>
      </c>
      <c r="L88">
        <v>0.23397804349346199</v>
      </c>
      <c r="M88" t="s">
        <v>6</v>
      </c>
    </row>
    <row r="89" spans="1:13" x14ac:dyDescent="0.3">
      <c r="A89">
        <v>86</v>
      </c>
      <c r="B89" t="s">
        <v>11</v>
      </c>
      <c r="C89" t="s">
        <v>15</v>
      </c>
      <c r="D89">
        <v>1</v>
      </c>
      <c r="E89">
        <v>1500</v>
      </c>
      <c r="F89">
        <v>1500</v>
      </c>
      <c r="G89">
        <v>297.41000000000003</v>
      </c>
      <c r="H89" t="s">
        <v>20</v>
      </c>
      <c r="I89" t="s">
        <v>99</v>
      </c>
      <c r="J89" t="s">
        <v>196</v>
      </c>
      <c r="K89" t="s">
        <v>186</v>
      </c>
      <c r="L89">
        <v>0.19827333333333336</v>
      </c>
      <c r="M89" t="s">
        <v>6</v>
      </c>
    </row>
    <row r="90" spans="1:13" x14ac:dyDescent="0.3">
      <c r="A90">
        <v>98</v>
      </c>
      <c r="B90" t="s">
        <v>9</v>
      </c>
      <c r="C90" t="s">
        <v>15</v>
      </c>
      <c r="D90">
        <v>1</v>
      </c>
      <c r="E90">
        <v>810</v>
      </c>
      <c r="F90">
        <v>810</v>
      </c>
      <c r="G90">
        <v>119.97</v>
      </c>
      <c r="H90" t="s">
        <v>18</v>
      </c>
      <c r="I90" t="s">
        <v>111</v>
      </c>
      <c r="J90" t="s">
        <v>196</v>
      </c>
      <c r="K90" t="s">
        <v>183</v>
      </c>
      <c r="L90">
        <v>0.14811111111111111</v>
      </c>
      <c r="M90" t="s">
        <v>6</v>
      </c>
    </row>
    <row r="91" spans="1:13" x14ac:dyDescent="0.3">
      <c r="A91">
        <v>101</v>
      </c>
      <c r="B91" t="s">
        <v>13</v>
      </c>
      <c r="C91" t="s">
        <v>15</v>
      </c>
      <c r="D91">
        <v>6</v>
      </c>
      <c r="E91">
        <v>1412</v>
      </c>
      <c r="F91">
        <v>8472</v>
      </c>
      <c r="G91">
        <v>1464.29</v>
      </c>
      <c r="H91" t="s">
        <v>19</v>
      </c>
      <c r="I91" t="s">
        <v>113</v>
      </c>
      <c r="J91" t="s">
        <v>196</v>
      </c>
      <c r="K91" t="s">
        <v>187</v>
      </c>
      <c r="L91">
        <v>0.17283876298394713</v>
      </c>
      <c r="M91" t="s">
        <v>6</v>
      </c>
    </row>
    <row r="92" spans="1:13" x14ac:dyDescent="0.3">
      <c r="A92">
        <v>105</v>
      </c>
      <c r="B92" t="s">
        <v>11</v>
      </c>
      <c r="C92" t="s">
        <v>15</v>
      </c>
      <c r="D92">
        <v>7</v>
      </c>
      <c r="E92">
        <v>1661</v>
      </c>
      <c r="F92">
        <v>11627</v>
      </c>
      <c r="G92">
        <v>2980.67</v>
      </c>
      <c r="H92" t="s">
        <v>20</v>
      </c>
      <c r="I92" t="s">
        <v>69</v>
      </c>
      <c r="J92" t="s">
        <v>196</v>
      </c>
      <c r="K92" t="s">
        <v>187</v>
      </c>
      <c r="L92">
        <v>0.25635761589403971</v>
      </c>
      <c r="M92" t="s">
        <v>6</v>
      </c>
    </row>
    <row r="93" spans="1:13" x14ac:dyDescent="0.3">
      <c r="A93">
        <v>109</v>
      </c>
      <c r="B93" t="s">
        <v>12</v>
      </c>
      <c r="C93" t="s">
        <v>15</v>
      </c>
      <c r="D93">
        <v>7</v>
      </c>
      <c r="E93">
        <v>1258</v>
      </c>
      <c r="F93">
        <v>8806</v>
      </c>
      <c r="G93">
        <v>2583.02</v>
      </c>
      <c r="H93" t="s">
        <v>18</v>
      </c>
      <c r="I93" t="s">
        <v>25</v>
      </c>
      <c r="J93" t="s">
        <v>196</v>
      </c>
      <c r="K93" t="s">
        <v>181</v>
      </c>
      <c r="L93">
        <v>0.29332500567794684</v>
      </c>
      <c r="M93" t="s">
        <v>6</v>
      </c>
    </row>
    <row r="94" spans="1:13" x14ac:dyDescent="0.3">
      <c r="A94">
        <v>119</v>
      </c>
      <c r="B94" t="s">
        <v>13</v>
      </c>
      <c r="C94" t="s">
        <v>15</v>
      </c>
      <c r="D94">
        <v>4</v>
      </c>
      <c r="E94">
        <v>1596</v>
      </c>
      <c r="F94">
        <v>6384</v>
      </c>
      <c r="G94">
        <v>1215.55</v>
      </c>
      <c r="H94" t="s">
        <v>18</v>
      </c>
      <c r="I94" t="s">
        <v>124</v>
      </c>
      <c r="J94" t="s">
        <v>196</v>
      </c>
      <c r="K94" t="s">
        <v>188</v>
      </c>
      <c r="L94">
        <v>0.19040570175438595</v>
      </c>
      <c r="M94" t="s">
        <v>6</v>
      </c>
    </row>
    <row r="95" spans="1:13" x14ac:dyDescent="0.3">
      <c r="A95">
        <v>122</v>
      </c>
      <c r="B95" t="s">
        <v>10</v>
      </c>
      <c r="C95" t="s">
        <v>15</v>
      </c>
      <c r="D95">
        <v>5</v>
      </c>
      <c r="E95">
        <v>1580</v>
      </c>
      <c r="F95">
        <v>7900</v>
      </c>
      <c r="G95">
        <v>1038.74</v>
      </c>
      <c r="H95" t="s">
        <v>18</v>
      </c>
      <c r="I95" t="s">
        <v>125</v>
      </c>
      <c r="J95" t="s">
        <v>196</v>
      </c>
      <c r="K95" t="s">
        <v>177</v>
      </c>
      <c r="L95">
        <v>0.13148607594936709</v>
      </c>
      <c r="M95" t="s">
        <v>6</v>
      </c>
    </row>
    <row r="96" spans="1:13" x14ac:dyDescent="0.3">
      <c r="A96">
        <v>125</v>
      </c>
      <c r="B96" t="s">
        <v>12</v>
      </c>
      <c r="C96" t="s">
        <v>15</v>
      </c>
      <c r="D96">
        <v>6</v>
      </c>
      <c r="E96">
        <v>520</v>
      </c>
      <c r="F96">
        <v>3120</v>
      </c>
      <c r="G96">
        <v>474.04</v>
      </c>
      <c r="H96" t="s">
        <v>20</v>
      </c>
      <c r="I96" t="s">
        <v>128</v>
      </c>
      <c r="J96" t="s">
        <v>196</v>
      </c>
      <c r="K96" t="s">
        <v>185</v>
      </c>
      <c r="L96">
        <v>0.15193589743589744</v>
      </c>
      <c r="M96" t="s">
        <v>6</v>
      </c>
    </row>
    <row r="97" spans="1:13" x14ac:dyDescent="0.3">
      <c r="A97">
        <v>131</v>
      </c>
      <c r="B97" t="s">
        <v>9</v>
      </c>
      <c r="C97" t="s">
        <v>15</v>
      </c>
      <c r="D97">
        <v>2</v>
      </c>
      <c r="E97">
        <v>1125</v>
      </c>
      <c r="F97">
        <v>2250</v>
      </c>
      <c r="G97">
        <v>138.41999999999999</v>
      </c>
      <c r="H97" t="s">
        <v>18</v>
      </c>
      <c r="I97" t="s">
        <v>132</v>
      </c>
      <c r="J97" t="s">
        <v>196</v>
      </c>
      <c r="K97" t="s">
        <v>179</v>
      </c>
      <c r="L97">
        <v>6.1519999999999991E-2</v>
      </c>
      <c r="M97" t="s">
        <v>6</v>
      </c>
    </row>
    <row r="98" spans="1:13" x14ac:dyDescent="0.3">
      <c r="A98">
        <v>134</v>
      </c>
      <c r="B98" t="s">
        <v>12</v>
      </c>
      <c r="C98" t="s">
        <v>15</v>
      </c>
      <c r="D98">
        <v>9</v>
      </c>
      <c r="E98">
        <v>771</v>
      </c>
      <c r="F98">
        <v>6939</v>
      </c>
      <c r="G98">
        <v>1416.58</v>
      </c>
      <c r="H98" t="s">
        <v>19</v>
      </c>
      <c r="I98" t="s">
        <v>134</v>
      </c>
      <c r="J98" t="s">
        <v>196</v>
      </c>
      <c r="K98" t="s">
        <v>187</v>
      </c>
      <c r="L98">
        <v>0.20414757169620981</v>
      </c>
      <c r="M98" t="s">
        <v>6</v>
      </c>
    </row>
    <row r="99" spans="1:13" x14ac:dyDescent="0.3">
      <c r="A99">
        <v>136</v>
      </c>
      <c r="B99" t="s">
        <v>12</v>
      </c>
      <c r="C99" t="s">
        <v>15</v>
      </c>
      <c r="D99">
        <v>10</v>
      </c>
      <c r="E99">
        <v>965</v>
      </c>
      <c r="F99">
        <v>9650</v>
      </c>
      <c r="G99">
        <v>1522.38</v>
      </c>
      <c r="H99" t="s">
        <v>18</v>
      </c>
      <c r="I99" t="s">
        <v>135</v>
      </c>
      <c r="J99" t="s">
        <v>196</v>
      </c>
      <c r="K99" t="s">
        <v>188</v>
      </c>
      <c r="L99">
        <v>0.15775958549222799</v>
      </c>
      <c r="M99" t="s">
        <v>6</v>
      </c>
    </row>
    <row r="100" spans="1:13" x14ac:dyDescent="0.3">
      <c r="A100">
        <v>139</v>
      </c>
      <c r="B100" t="s">
        <v>10</v>
      </c>
      <c r="C100" t="s">
        <v>15</v>
      </c>
      <c r="D100">
        <v>4</v>
      </c>
      <c r="E100">
        <v>1357</v>
      </c>
      <c r="F100">
        <v>5428</v>
      </c>
      <c r="G100">
        <v>1596.1</v>
      </c>
      <c r="H100" t="s">
        <v>18</v>
      </c>
      <c r="I100" t="s">
        <v>127</v>
      </c>
      <c r="J100" t="s">
        <v>196</v>
      </c>
      <c r="K100" t="s">
        <v>188</v>
      </c>
      <c r="L100">
        <v>0.2940493736182756</v>
      </c>
      <c r="M100" t="s">
        <v>6</v>
      </c>
    </row>
    <row r="101" spans="1:13" x14ac:dyDescent="0.3">
      <c r="A101">
        <v>144</v>
      </c>
      <c r="B101" t="s">
        <v>11</v>
      </c>
      <c r="C101" t="s">
        <v>15</v>
      </c>
      <c r="D101">
        <v>7</v>
      </c>
      <c r="E101">
        <v>1120</v>
      </c>
      <c r="F101">
        <v>7840</v>
      </c>
      <c r="G101">
        <v>1368.25</v>
      </c>
      <c r="H101" t="s">
        <v>18</v>
      </c>
      <c r="I101" t="s">
        <v>74</v>
      </c>
      <c r="J101" t="s">
        <v>196</v>
      </c>
      <c r="K101" t="s">
        <v>184</v>
      </c>
      <c r="L101">
        <v>0.17452168367346937</v>
      </c>
      <c r="M101" t="s">
        <v>6</v>
      </c>
    </row>
    <row r="102" spans="1:13" x14ac:dyDescent="0.3">
      <c r="A102">
        <v>149</v>
      </c>
      <c r="B102" t="s">
        <v>10</v>
      </c>
      <c r="C102" t="s">
        <v>15</v>
      </c>
      <c r="D102">
        <v>8</v>
      </c>
      <c r="E102">
        <v>857</v>
      </c>
      <c r="F102">
        <v>6856</v>
      </c>
      <c r="G102">
        <v>1320.72</v>
      </c>
      <c r="H102" t="s">
        <v>19</v>
      </c>
      <c r="I102" t="s">
        <v>142</v>
      </c>
      <c r="J102" t="s">
        <v>196</v>
      </c>
      <c r="K102" t="s">
        <v>184</v>
      </c>
      <c r="L102">
        <v>0.19263710618436405</v>
      </c>
      <c r="M102" t="s">
        <v>6</v>
      </c>
    </row>
    <row r="103" spans="1:13" x14ac:dyDescent="0.3">
      <c r="A103">
        <v>150</v>
      </c>
      <c r="B103" t="s">
        <v>9</v>
      </c>
      <c r="C103" t="s">
        <v>15</v>
      </c>
      <c r="D103">
        <v>8</v>
      </c>
      <c r="E103">
        <v>1205</v>
      </c>
      <c r="F103">
        <v>9640</v>
      </c>
      <c r="G103">
        <v>2621.93</v>
      </c>
      <c r="H103" t="s">
        <v>18</v>
      </c>
      <c r="I103" t="s">
        <v>143</v>
      </c>
      <c r="J103" t="s">
        <v>196</v>
      </c>
      <c r="K103" t="s">
        <v>184</v>
      </c>
      <c r="L103">
        <v>0.27198443983402487</v>
      </c>
      <c r="M103" t="s">
        <v>6</v>
      </c>
    </row>
    <row r="104" spans="1:13" x14ac:dyDescent="0.3">
      <c r="A104">
        <v>153</v>
      </c>
      <c r="B104" t="s">
        <v>12</v>
      </c>
      <c r="C104" t="s">
        <v>15</v>
      </c>
      <c r="D104">
        <v>8</v>
      </c>
      <c r="E104">
        <v>1486</v>
      </c>
      <c r="F104">
        <v>11888</v>
      </c>
      <c r="G104">
        <v>1023.29</v>
      </c>
      <c r="H104" t="s">
        <v>18</v>
      </c>
      <c r="I104" t="s">
        <v>146</v>
      </c>
      <c r="J104" t="s">
        <v>196</v>
      </c>
      <c r="K104" t="s">
        <v>182</v>
      </c>
      <c r="L104">
        <v>8.6077557200538349E-2</v>
      </c>
      <c r="M104" t="s">
        <v>6</v>
      </c>
    </row>
    <row r="105" spans="1:13" x14ac:dyDescent="0.3">
      <c r="A105">
        <v>164</v>
      </c>
      <c r="B105" t="s">
        <v>9</v>
      </c>
      <c r="C105" t="s">
        <v>15</v>
      </c>
      <c r="D105">
        <v>2</v>
      </c>
      <c r="E105">
        <v>1640</v>
      </c>
      <c r="F105">
        <v>3280</v>
      </c>
      <c r="G105">
        <v>784.83</v>
      </c>
      <c r="H105" t="s">
        <v>18</v>
      </c>
      <c r="I105" t="s">
        <v>152</v>
      </c>
      <c r="J105" t="s">
        <v>196</v>
      </c>
      <c r="K105" t="s">
        <v>177</v>
      </c>
      <c r="L105">
        <v>0.23927743902439025</v>
      </c>
      <c r="M105" t="s">
        <v>6</v>
      </c>
    </row>
    <row r="106" spans="1:13" x14ac:dyDescent="0.3">
      <c r="A106">
        <v>165</v>
      </c>
      <c r="B106" t="s">
        <v>9</v>
      </c>
      <c r="C106" t="s">
        <v>15</v>
      </c>
      <c r="D106">
        <v>6</v>
      </c>
      <c r="E106">
        <v>1531</v>
      </c>
      <c r="F106">
        <v>9186</v>
      </c>
      <c r="G106">
        <v>760.72</v>
      </c>
      <c r="H106" t="s">
        <v>20</v>
      </c>
      <c r="I106" t="s">
        <v>153</v>
      </c>
      <c r="J106" t="s">
        <v>196</v>
      </c>
      <c r="K106" t="s">
        <v>183</v>
      </c>
      <c r="L106">
        <v>8.2812976268234278E-2</v>
      </c>
      <c r="M106" t="s">
        <v>6</v>
      </c>
    </row>
    <row r="107" spans="1:13" x14ac:dyDescent="0.3">
      <c r="A107">
        <v>174</v>
      </c>
      <c r="B107" t="s">
        <v>11</v>
      </c>
      <c r="C107" t="s">
        <v>15</v>
      </c>
      <c r="D107">
        <v>2</v>
      </c>
      <c r="E107">
        <v>244</v>
      </c>
      <c r="F107">
        <v>488</v>
      </c>
      <c r="G107">
        <v>27.14</v>
      </c>
      <c r="H107" t="s">
        <v>19</v>
      </c>
      <c r="I107" t="s">
        <v>157</v>
      </c>
      <c r="J107" t="s">
        <v>196</v>
      </c>
      <c r="K107" t="s">
        <v>179</v>
      </c>
      <c r="L107">
        <v>5.5614754098360655E-2</v>
      </c>
      <c r="M107" t="s">
        <v>6</v>
      </c>
    </row>
    <row r="108" spans="1:13" x14ac:dyDescent="0.3">
      <c r="A108">
        <v>175</v>
      </c>
      <c r="B108" t="s">
        <v>13</v>
      </c>
      <c r="C108" t="s">
        <v>15</v>
      </c>
      <c r="D108">
        <v>6</v>
      </c>
      <c r="E108">
        <v>420</v>
      </c>
      <c r="F108">
        <v>2520</v>
      </c>
      <c r="G108">
        <v>422.2</v>
      </c>
      <c r="H108" t="s">
        <v>18</v>
      </c>
      <c r="I108" t="s">
        <v>158</v>
      </c>
      <c r="J108" t="s">
        <v>196</v>
      </c>
      <c r="K108" t="s">
        <v>179</v>
      </c>
      <c r="L108">
        <v>0.16753968253968254</v>
      </c>
      <c r="M108" t="s">
        <v>6</v>
      </c>
    </row>
    <row r="109" spans="1:13" x14ac:dyDescent="0.3">
      <c r="A109">
        <v>191</v>
      </c>
      <c r="B109" t="s">
        <v>13</v>
      </c>
      <c r="C109" t="s">
        <v>15</v>
      </c>
      <c r="D109">
        <v>2</v>
      </c>
      <c r="E109">
        <v>510</v>
      </c>
      <c r="F109">
        <v>1020</v>
      </c>
      <c r="G109">
        <v>297.43</v>
      </c>
      <c r="H109" t="s">
        <v>20</v>
      </c>
      <c r="I109" t="s">
        <v>25</v>
      </c>
      <c r="J109" t="s">
        <v>196</v>
      </c>
      <c r="K109" t="s">
        <v>181</v>
      </c>
      <c r="L109">
        <v>0.29159803921568628</v>
      </c>
      <c r="M109" t="s">
        <v>6</v>
      </c>
    </row>
    <row r="110" spans="1:13" x14ac:dyDescent="0.3">
      <c r="A110">
        <v>195</v>
      </c>
      <c r="B110" t="s">
        <v>13</v>
      </c>
      <c r="C110" t="s">
        <v>15</v>
      </c>
      <c r="D110">
        <v>4</v>
      </c>
      <c r="E110">
        <v>588</v>
      </c>
      <c r="F110">
        <v>2352</v>
      </c>
      <c r="G110">
        <v>679.94</v>
      </c>
      <c r="H110" t="s">
        <v>20</v>
      </c>
      <c r="I110" t="s">
        <v>167</v>
      </c>
      <c r="J110" t="s">
        <v>196</v>
      </c>
      <c r="K110" t="s">
        <v>184</v>
      </c>
      <c r="L110">
        <v>0.2890901360544218</v>
      </c>
      <c r="M110" t="s">
        <v>6</v>
      </c>
    </row>
    <row r="111" spans="1:13" x14ac:dyDescent="0.3">
      <c r="A111">
        <v>5</v>
      </c>
      <c r="B111" t="s">
        <v>11</v>
      </c>
      <c r="C111" t="s">
        <v>16</v>
      </c>
      <c r="D111">
        <v>10</v>
      </c>
      <c r="E111">
        <v>1815</v>
      </c>
      <c r="F111">
        <v>18150</v>
      </c>
      <c r="G111">
        <v>4456.0200000000004</v>
      </c>
      <c r="H111" t="s">
        <v>19</v>
      </c>
      <c r="I111" t="s">
        <v>25</v>
      </c>
      <c r="J111" t="s">
        <v>196</v>
      </c>
      <c r="K111" t="s">
        <v>181</v>
      </c>
      <c r="L111">
        <v>0.24551074380165291</v>
      </c>
      <c r="M111" t="s">
        <v>6</v>
      </c>
    </row>
    <row r="112" spans="1:13" x14ac:dyDescent="0.3">
      <c r="A112">
        <v>8</v>
      </c>
      <c r="B112" t="s">
        <v>10</v>
      </c>
      <c r="C112" t="s">
        <v>16</v>
      </c>
      <c r="D112">
        <v>3</v>
      </c>
      <c r="E112">
        <v>1824</v>
      </c>
      <c r="F112">
        <v>5472</v>
      </c>
      <c r="G112">
        <v>1330.36</v>
      </c>
      <c r="H112" t="s">
        <v>19</v>
      </c>
      <c r="I112" t="s">
        <v>28</v>
      </c>
      <c r="J112" t="s">
        <v>196</v>
      </c>
      <c r="K112" t="s">
        <v>185</v>
      </c>
      <c r="L112">
        <v>0.24312134502923974</v>
      </c>
      <c r="M112" t="s">
        <v>6</v>
      </c>
    </row>
    <row r="113" spans="1:13" x14ac:dyDescent="0.3">
      <c r="A113">
        <v>18</v>
      </c>
      <c r="B113" t="s">
        <v>9</v>
      </c>
      <c r="C113" t="s">
        <v>16</v>
      </c>
      <c r="D113">
        <v>7</v>
      </c>
      <c r="E113">
        <v>700</v>
      </c>
      <c r="F113">
        <v>4900</v>
      </c>
      <c r="G113">
        <v>1028.3599999999999</v>
      </c>
      <c r="H113" t="s">
        <v>18</v>
      </c>
      <c r="I113" t="s">
        <v>38</v>
      </c>
      <c r="J113" t="s">
        <v>196</v>
      </c>
      <c r="K113" t="s">
        <v>178</v>
      </c>
      <c r="L113">
        <v>0.20986938775510203</v>
      </c>
      <c r="M113" t="s">
        <v>6</v>
      </c>
    </row>
    <row r="114" spans="1:13" x14ac:dyDescent="0.3">
      <c r="A114">
        <v>25</v>
      </c>
      <c r="B114" t="s">
        <v>9</v>
      </c>
      <c r="C114" t="s">
        <v>16</v>
      </c>
      <c r="D114">
        <v>10</v>
      </c>
      <c r="E114">
        <v>485</v>
      </c>
      <c r="F114">
        <v>4850</v>
      </c>
      <c r="G114">
        <v>1326.58</v>
      </c>
      <c r="H114" t="s">
        <v>19</v>
      </c>
      <c r="I114" t="s">
        <v>45</v>
      </c>
      <c r="J114" t="s">
        <v>196</v>
      </c>
      <c r="K114" t="s">
        <v>186</v>
      </c>
      <c r="L114">
        <v>0.27352164948453606</v>
      </c>
      <c r="M114" t="s">
        <v>6</v>
      </c>
    </row>
    <row r="115" spans="1:13" x14ac:dyDescent="0.3">
      <c r="A115">
        <v>34</v>
      </c>
      <c r="B115" t="s">
        <v>11</v>
      </c>
      <c r="C115" t="s">
        <v>16</v>
      </c>
      <c r="D115">
        <v>8</v>
      </c>
      <c r="E115">
        <v>730</v>
      </c>
      <c r="F115">
        <v>5840</v>
      </c>
      <c r="G115">
        <v>1659.8</v>
      </c>
      <c r="H115" t="s">
        <v>19</v>
      </c>
      <c r="I115" t="s">
        <v>53</v>
      </c>
      <c r="J115" t="s">
        <v>196</v>
      </c>
      <c r="K115" t="s">
        <v>177</v>
      </c>
      <c r="L115">
        <v>0.28421232876712327</v>
      </c>
      <c r="M115" t="s">
        <v>6</v>
      </c>
    </row>
    <row r="116" spans="1:13" x14ac:dyDescent="0.3">
      <c r="A116">
        <v>38</v>
      </c>
      <c r="B116" t="s">
        <v>12</v>
      </c>
      <c r="C116" t="s">
        <v>16</v>
      </c>
      <c r="D116">
        <v>10</v>
      </c>
      <c r="E116">
        <v>466</v>
      </c>
      <c r="F116">
        <v>4660</v>
      </c>
      <c r="G116">
        <v>1012.06</v>
      </c>
      <c r="H116" t="s">
        <v>20</v>
      </c>
      <c r="I116" t="s">
        <v>56</v>
      </c>
      <c r="J116" t="s">
        <v>196</v>
      </c>
      <c r="K116" t="s">
        <v>182</v>
      </c>
      <c r="L116">
        <v>0.21718025751072961</v>
      </c>
      <c r="M116" t="s">
        <v>6</v>
      </c>
    </row>
    <row r="117" spans="1:13" x14ac:dyDescent="0.3">
      <c r="A117">
        <v>39</v>
      </c>
      <c r="B117" t="s">
        <v>10</v>
      </c>
      <c r="C117" t="s">
        <v>16</v>
      </c>
      <c r="D117">
        <v>2</v>
      </c>
      <c r="E117">
        <v>261</v>
      </c>
      <c r="F117">
        <v>522</v>
      </c>
      <c r="G117">
        <v>96.53</v>
      </c>
      <c r="H117" t="s">
        <v>20</v>
      </c>
      <c r="I117" t="s">
        <v>57</v>
      </c>
      <c r="J117" t="s">
        <v>196</v>
      </c>
      <c r="K117" t="s">
        <v>184</v>
      </c>
      <c r="L117">
        <v>0.18492337164750958</v>
      </c>
      <c r="M117" t="s">
        <v>6</v>
      </c>
    </row>
    <row r="118" spans="1:13" x14ac:dyDescent="0.3">
      <c r="A118">
        <v>46</v>
      </c>
      <c r="B118" t="s">
        <v>10</v>
      </c>
      <c r="C118" t="s">
        <v>16</v>
      </c>
      <c r="D118">
        <v>9</v>
      </c>
      <c r="E118">
        <v>1700</v>
      </c>
      <c r="F118">
        <v>15300</v>
      </c>
      <c r="G118">
        <v>2708.77</v>
      </c>
      <c r="H118" t="s">
        <v>18</v>
      </c>
      <c r="I118" t="s">
        <v>62</v>
      </c>
      <c r="J118" t="s">
        <v>196</v>
      </c>
      <c r="K118" t="s">
        <v>185</v>
      </c>
      <c r="L118">
        <v>0.1770437908496732</v>
      </c>
      <c r="M118" t="s">
        <v>6</v>
      </c>
    </row>
    <row r="119" spans="1:13" x14ac:dyDescent="0.3">
      <c r="A119">
        <v>48</v>
      </c>
      <c r="B119" t="s">
        <v>9</v>
      </c>
      <c r="C119" t="s">
        <v>16</v>
      </c>
      <c r="D119">
        <v>3</v>
      </c>
      <c r="E119">
        <v>314</v>
      </c>
      <c r="F119">
        <v>942</v>
      </c>
      <c r="G119">
        <v>76.02</v>
      </c>
      <c r="H119" t="s">
        <v>19</v>
      </c>
      <c r="I119" t="s">
        <v>64</v>
      </c>
      <c r="J119" t="s">
        <v>196</v>
      </c>
      <c r="K119" t="s">
        <v>183</v>
      </c>
      <c r="L119">
        <v>8.0700636942675152E-2</v>
      </c>
      <c r="M119" t="s">
        <v>6</v>
      </c>
    </row>
    <row r="120" spans="1:13" x14ac:dyDescent="0.3">
      <c r="A120">
        <v>53</v>
      </c>
      <c r="B120" t="s">
        <v>13</v>
      </c>
      <c r="C120" t="s">
        <v>16</v>
      </c>
      <c r="D120">
        <v>3</v>
      </c>
      <c r="E120">
        <v>963</v>
      </c>
      <c r="F120">
        <v>2889</v>
      </c>
      <c r="G120">
        <v>416.5</v>
      </c>
      <c r="H120" t="s">
        <v>19</v>
      </c>
      <c r="I120" t="s">
        <v>69</v>
      </c>
      <c r="J120" t="s">
        <v>196</v>
      </c>
      <c r="K120" t="s">
        <v>187</v>
      </c>
      <c r="L120">
        <v>0.14416753201799931</v>
      </c>
      <c r="M120" t="s">
        <v>6</v>
      </c>
    </row>
    <row r="121" spans="1:13" x14ac:dyDescent="0.3">
      <c r="A121">
        <v>59</v>
      </c>
      <c r="B121" t="s">
        <v>13</v>
      </c>
      <c r="C121" t="s">
        <v>16</v>
      </c>
      <c r="D121">
        <v>7</v>
      </c>
      <c r="E121">
        <v>244</v>
      </c>
      <c r="F121">
        <v>1708</v>
      </c>
      <c r="G121">
        <v>176.48</v>
      </c>
      <c r="H121" t="s">
        <v>20</v>
      </c>
      <c r="I121" t="s">
        <v>75</v>
      </c>
      <c r="J121" t="s">
        <v>196</v>
      </c>
      <c r="K121" t="s">
        <v>187</v>
      </c>
      <c r="L121">
        <v>0.1033255269320843</v>
      </c>
      <c r="M121" t="s">
        <v>6</v>
      </c>
    </row>
    <row r="122" spans="1:13" x14ac:dyDescent="0.3">
      <c r="A122">
        <v>70</v>
      </c>
      <c r="B122" t="s">
        <v>10</v>
      </c>
      <c r="C122" t="s">
        <v>16</v>
      </c>
      <c r="D122">
        <v>8</v>
      </c>
      <c r="E122">
        <v>422</v>
      </c>
      <c r="F122">
        <v>3376</v>
      </c>
      <c r="G122">
        <v>241.86</v>
      </c>
      <c r="H122" t="s">
        <v>18</v>
      </c>
      <c r="I122" t="s">
        <v>85</v>
      </c>
      <c r="J122" t="s">
        <v>196</v>
      </c>
      <c r="K122" t="s">
        <v>188</v>
      </c>
      <c r="L122">
        <v>7.1640995260663518E-2</v>
      </c>
      <c r="M122" t="s">
        <v>6</v>
      </c>
    </row>
    <row r="123" spans="1:13" x14ac:dyDescent="0.3">
      <c r="A123">
        <v>82</v>
      </c>
      <c r="B123" t="s">
        <v>12</v>
      </c>
      <c r="C123" t="s">
        <v>16</v>
      </c>
      <c r="D123">
        <v>1</v>
      </c>
      <c r="E123">
        <v>1375</v>
      </c>
      <c r="F123">
        <v>1375</v>
      </c>
      <c r="G123">
        <v>338.68</v>
      </c>
      <c r="H123" t="s">
        <v>19</v>
      </c>
      <c r="I123" t="s">
        <v>95</v>
      </c>
      <c r="J123" t="s">
        <v>196</v>
      </c>
      <c r="K123" t="s">
        <v>182</v>
      </c>
      <c r="L123">
        <v>0.24631272727272727</v>
      </c>
      <c r="M123" t="s">
        <v>6</v>
      </c>
    </row>
    <row r="124" spans="1:13" x14ac:dyDescent="0.3">
      <c r="A124">
        <v>87</v>
      </c>
      <c r="B124" t="s">
        <v>13</v>
      </c>
      <c r="C124" t="s">
        <v>16</v>
      </c>
      <c r="D124">
        <v>10</v>
      </c>
      <c r="E124">
        <v>1815</v>
      </c>
      <c r="F124">
        <v>18150</v>
      </c>
      <c r="G124">
        <v>4888.63</v>
      </c>
      <c r="H124" t="s">
        <v>18</v>
      </c>
      <c r="I124" t="s">
        <v>100</v>
      </c>
      <c r="J124" t="s">
        <v>196</v>
      </c>
      <c r="K124" t="s">
        <v>185</v>
      </c>
      <c r="L124">
        <v>0.26934600550964188</v>
      </c>
      <c r="M124" t="s">
        <v>6</v>
      </c>
    </row>
    <row r="125" spans="1:13" x14ac:dyDescent="0.3">
      <c r="A125">
        <v>89</v>
      </c>
      <c r="B125" t="s">
        <v>10</v>
      </c>
      <c r="C125" t="s">
        <v>16</v>
      </c>
      <c r="D125">
        <v>6</v>
      </c>
      <c r="E125">
        <v>720</v>
      </c>
      <c r="F125">
        <v>4320</v>
      </c>
      <c r="G125">
        <v>870.43</v>
      </c>
      <c r="H125" t="s">
        <v>20</v>
      </c>
      <c r="I125" t="s">
        <v>102</v>
      </c>
      <c r="J125" t="s">
        <v>196</v>
      </c>
      <c r="K125" t="s">
        <v>187</v>
      </c>
      <c r="L125">
        <v>0.20148842592592592</v>
      </c>
      <c r="M125" t="s">
        <v>6</v>
      </c>
    </row>
    <row r="126" spans="1:13" x14ac:dyDescent="0.3">
      <c r="A126">
        <v>92</v>
      </c>
      <c r="B126" t="s">
        <v>11</v>
      </c>
      <c r="C126" t="s">
        <v>16</v>
      </c>
      <c r="D126">
        <v>2</v>
      </c>
      <c r="E126">
        <v>155</v>
      </c>
      <c r="F126">
        <v>310</v>
      </c>
      <c r="G126">
        <v>16.41</v>
      </c>
      <c r="H126" t="s">
        <v>20</v>
      </c>
      <c r="I126" t="s">
        <v>105</v>
      </c>
      <c r="J126" t="s">
        <v>196</v>
      </c>
      <c r="K126" t="s">
        <v>181</v>
      </c>
      <c r="L126">
        <v>5.2935483870967741E-2</v>
      </c>
      <c r="M126" t="s">
        <v>6</v>
      </c>
    </row>
    <row r="127" spans="1:13" x14ac:dyDescent="0.3">
      <c r="A127">
        <v>97</v>
      </c>
      <c r="B127" t="s">
        <v>11</v>
      </c>
      <c r="C127" t="s">
        <v>16</v>
      </c>
      <c r="D127">
        <v>9</v>
      </c>
      <c r="E127">
        <v>1467</v>
      </c>
      <c r="F127">
        <v>13203</v>
      </c>
      <c r="G127">
        <v>1726.11</v>
      </c>
      <c r="H127" t="s">
        <v>20</v>
      </c>
      <c r="I127" t="s">
        <v>110</v>
      </c>
      <c r="J127" t="s">
        <v>196</v>
      </c>
      <c r="K127" t="s">
        <v>178</v>
      </c>
      <c r="L127">
        <v>0.13073619631901839</v>
      </c>
      <c r="M127" t="s">
        <v>6</v>
      </c>
    </row>
    <row r="128" spans="1:13" x14ac:dyDescent="0.3">
      <c r="A128">
        <v>100</v>
      </c>
      <c r="B128" t="s">
        <v>13</v>
      </c>
      <c r="C128" t="s">
        <v>16</v>
      </c>
      <c r="D128">
        <v>8</v>
      </c>
      <c r="E128">
        <v>438</v>
      </c>
      <c r="F128">
        <v>3504</v>
      </c>
      <c r="G128">
        <v>1008.66</v>
      </c>
      <c r="H128" t="s">
        <v>19</v>
      </c>
      <c r="I128" t="s">
        <v>85</v>
      </c>
      <c r="J128" t="s">
        <v>196</v>
      </c>
      <c r="K128" t="s">
        <v>188</v>
      </c>
      <c r="L128">
        <v>0.28785958904109588</v>
      </c>
      <c r="M128" t="s">
        <v>6</v>
      </c>
    </row>
    <row r="129" spans="1:13" x14ac:dyDescent="0.3">
      <c r="A129">
        <v>102</v>
      </c>
      <c r="B129" t="s">
        <v>11</v>
      </c>
      <c r="C129" t="s">
        <v>16</v>
      </c>
      <c r="D129">
        <v>2</v>
      </c>
      <c r="E129">
        <v>1291</v>
      </c>
      <c r="F129">
        <v>2582</v>
      </c>
      <c r="G129">
        <v>537.66</v>
      </c>
      <c r="H129" t="s">
        <v>19</v>
      </c>
      <c r="I129" t="s">
        <v>114</v>
      </c>
      <c r="J129" t="s">
        <v>196</v>
      </c>
      <c r="K129" t="s">
        <v>178</v>
      </c>
      <c r="L129">
        <v>0.20823392718822617</v>
      </c>
      <c r="M129" t="s">
        <v>6</v>
      </c>
    </row>
    <row r="130" spans="1:13" x14ac:dyDescent="0.3">
      <c r="A130">
        <v>107</v>
      </c>
      <c r="B130" t="s">
        <v>11</v>
      </c>
      <c r="C130" t="s">
        <v>16</v>
      </c>
      <c r="D130">
        <v>1</v>
      </c>
      <c r="E130">
        <v>257</v>
      </c>
      <c r="F130">
        <v>257</v>
      </c>
      <c r="G130">
        <v>75.849999999999994</v>
      </c>
      <c r="H130" t="s">
        <v>18</v>
      </c>
      <c r="I130" t="s">
        <v>118</v>
      </c>
      <c r="J130" t="s">
        <v>196</v>
      </c>
      <c r="K130" t="s">
        <v>182</v>
      </c>
      <c r="L130">
        <v>0.29513618677042797</v>
      </c>
      <c r="M130" t="s">
        <v>6</v>
      </c>
    </row>
    <row r="131" spans="1:13" x14ac:dyDescent="0.3">
      <c r="A131">
        <v>108</v>
      </c>
      <c r="B131" t="s">
        <v>13</v>
      </c>
      <c r="C131" t="s">
        <v>16</v>
      </c>
      <c r="D131">
        <v>9</v>
      </c>
      <c r="E131">
        <v>102</v>
      </c>
      <c r="F131">
        <v>918</v>
      </c>
      <c r="G131">
        <v>93.3</v>
      </c>
      <c r="H131" t="s">
        <v>18</v>
      </c>
      <c r="I131" t="s">
        <v>51</v>
      </c>
      <c r="J131" t="s">
        <v>196</v>
      </c>
      <c r="K131" t="s">
        <v>177</v>
      </c>
      <c r="L131">
        <v>0.10163398692810457</v>
      </c>
      <c r="M131" t="s">
        <v>6</v>
      </c>
    </row>
    <row r="132" spans="1:13" x14ac:dyDescent="0.3">
      <c r="A132">
        <v>110</v>
      </c>
      <c r="B132" t="s">
        <v>10</v>
      </c>
      <c r="C132" t="s">
        <v>16</v>
      </c>
      <c r="D132">
        <v>3</v>
      </c>
      <c r="E132">
        <v>837</v>
      </c>
      <c r="F132">
        <v>2511</v>
      </c>
      <c r="G132">
        <v>448.48</v>
      </c>
      <c r="H132" t="s">
        <v>20</v>
      </c>
      <c r="I132" t="s">
        <v>109</v>
      </c>
      <c r="J132" t="s">
        <v>196</v>
      </c>
      <c r="K132" t="s">
        <v>184</v>
      </c>
      <c r="L132">
        <v>0.17860613301473519</v>
      </c>
      <c r="M132" t="s">
        <v>6</v>
      </c>
    </row>
    <row r="133" spans="1:13" x14ac:dyDescent="0.3">
      <c r="A133">
        <v>111</v>
      </c>
      <c r="B133" t="s">
        <v>13</v>
      </c>
      <c r="C133" t="s">
        <v>16</v>
      </c>
      <c r="D133">
        <v>3</v>
      </c>
      <c r="E133">
        <v>1948</v>
      </c>
      <c r="F133">
        <v>5844</v>
      </c>
      <c r="G133">
        <v>927.38</v>
      </c>
      <c r="H133" t="s">
        <v>19</v>
      </c>
      <c r="I133" t="s">
        <v>119</v>
      </c>
      <c r="J133" t="s">
        <v>196</v>
      </c>
      <c r="K133" t="s">
        <v>181</v>
      </c>
      <c r="L133">
        <v>0.1586892539356605</v>
      </c>
      <c r="M133" t="s">
        <v>6</v>
      </c>
    </row>
    <row r="134" spans="1:13" x14ac:dyDescent="0.3">
      <c r="A134">
        <v>114</v>
      </c>
      <c r="B134" t="s">
        <v>9</v>
      </c>
      <c r="C134" t="s">
        <v>16</v>
      </c>
      <c r="D134">
        <v>5</v>
      </c>
      <c r="E134">
        <v>1286</v>
      </c>
      <c r="F134">
        <v>6430</v>
      </c>
      <c r="G134">
        <v>1371.88</v>
      </c>
      <c r="H134" t="s">
        <v>18</v>
      </c>
      <c r="I134" t="s">
        <v>121</v>
      </c>
      <c r="J134" t="s">
        <v>196</v>
      </c>
      <c r="K134" t="s">
        <v>177</v>
      </c>
      <c r="L134">
        <v>0.21335614307931572</v>
      </c>
      <c r="M134" t="s">
        <v>6</v>
      </c>
    </row>
    <row r="135" spans="1:13" x14ac:dyDescent="0.3">
      <c r="A135">
        <v>115</v>
      </c>
      <c r="B135" t="s">
        <v>12</v>
      </c>
      <c r="C135" t="s">
        <v>16</v>
      </c>
      <c r="D135">
        <v>10</v>
      </c>
      <c r="E135">
        <v>769</v>
      </c>
      <c r="F135">
        <v>7690</v>
      </c>
      <c r="G135">
        <v>631.85</v>
      </c>
      <c r="H135" t="s">
        <v>19</v>
      </c>
      <c r="I135" t="s">
        <v>122</v>
      </c>
      <c r="J135" t="s">
        <v>196</v>
      </c>
      <c r="K135" t="s">
        <v>188</v>
      </c>
      <c r="L135">
        <v>8.2165149544863467E-2</v>
      </c>
      <c r="M135" t="s">
        <v>6</v>
      </c>
    </row>
    <row r="136" spans="1:13" x14ac:dyDescent="0.3">
      <c r="A136">
        <v>118</v>
      </c>
      <c r="B136" t="s">
        <v>10</v>
      </c>
      <c r="C136" t="s">
        <v>16</v>
      </c>
      <c r="D136">
        <v>9</v>
      </c>
      <c r="E136">
        <v>1675</v>
      </c>
      <c r="F136">
        <v>15075</v>
      </c>
      <c r="G136">
        <v>1317.13</v>
      </c>
      <c r="H136" t="s">
        <v>20</v>
      </c>
      <c r="I136" t="s">
        <v>123</v>
      </c>
      <c r="J136" t="s">
        <v>196</v>
      </c>
      <c r="K136" t="s">
        <v>188</v>
      </c>
      <c r="L136">
        <v>8.7371807628524048E-2</v>
      </c>
      <c r="M136" t="s">
        <v>6</v>
      </c>
    </row>
    <row r="137" spans="1:13" x14ac:dyDescent="0.3">
      <c r="A137">
        <v>120</v>
      </c>
      <c r="B137" t="s">
        <v>13</v>
      </c>
      <c r="C137" t="s">
        <v>16</v>
      </c>
      <c r="D137">
        <v>8</v>
      </c>
      <c r="E137">
        <v>994</v>
      </c>
      <c r="F137">
        <v>7952</v>
      </c>
      <c r="G137">
        <v>1764.73</v>
      </c>
      <c r="H137" t="s">
        <v>20</v>
      </c>
      <c r="I137" t="s">
        <v>76</v>
      </c>
      <c r="J137" t="s">
        <v>196</v>
      </c>
      <c r="K137" t="s">
        <v>184</v>
      </c>
      <c r="L137">
        <v>0.22192278672032192</v>
      </c>
      <c r="M137" t="s">
        <v>6</v>
      </c>
    </row>
    <row r="138" spans="1:13" x14ac:dyDescent="0.3">
      <c r="A138">
        <v>121</v>
      </c>
      <c r="B138" t="s">
        <v>10</v>
      </c>
      <c r="C138" t="s">
        <v>16</v>
      </c>
      <c r="D138">
        <v>3</v>
      </c>
      <c r="E138">
        <v>1965</v>
      </c>
      <c r="F138">
        <v>5895</v>
      </c>
      <c r="G138">
        <v>558.28</v>
      </c>
      <c r="H138" t="s">
        <v>20</v>
      </c>
      <c r="I138" t="s">
        <v>49</v>
      </c>
      <c r="J138" t="s">
        <v>196</v>
      </c>
      <c r="K138" t="s">
        <v>184</v>
      </c>
      <c r="L138">
        <v>9.4703986429177267E-2</v>
      </c>
      <c r="M138" t="s">
        <v>6</v>
      </c>
    </row>
    <row r="139" spans="1:13" x14ac:dyDescent="0.3">
      <c r="A139">
        <v>127</v>
      </c>
      <c r="B139" t="s">
        <v>11</v>
      </c>
      <c r="C139" t="s">
        <v>16</v>
      </c>
      <c r="D139">
        <v>2</v>
      </c>
      <c r="E139">
        <v>745</v>
      </c>
      <c r="F139">
        <v>1490</v>
      </c>
      <c r="G139">
        <v>300.14999999999998</v>
      </c>
      <c r="H139" t="s">
        <v>18</v>
      </c>
      <c r="I139" t="s">
        <v>130</v>
      </c>
      <c r="J139" t="s">
        <v>196</v>
      </c>
      <c r="K139" t="s">
        <v>178</v>
      </c>
      <c r="L139">
        <v>0.20144295302013421</v>
      </c>
      <c r="M139" t="s">
        <v>6</v>
      </c>
    </row>
    <row r="140" spans="1:13" x14ac:dyDescent="0.3">
      <c r="A140">
        <v>129</v>
      </c>
      <c r="B140" t="s">
        <v>12</v>
      </c>
      <c r="C140" t="s">
        <v>16</v>
      </c>
      <c r="D140">
        <v>6</v>
      </c>
      <c r="E140">
        <v>382</v>
      </c>
      <c r="F140">
        <v>2292</v>
      </c>
      <c r="G140">
        <v>617.33000000000004</v>
      </c>
      <c r="H140" t="s">
        <v>19</v>
      </c>
      <c r="I140" t="s">
        <v>112</v>
      </c>
      <c r="J140" t="s">
        <v>196</v>
      </c>
      <c r="K140" t="s">
        <v>183</v>
      </c>
      <c r="L140">
        <v>0.26934118673647472</v>
      </c>
      <c r="M140" t="s">
        <v>6</v>
      </c>
    </row>
    <row r="141" spans="1:13" x14ac:dyDescent="0.3">
      <c r="A141">
        <v>130</v>
      </c>
      <c r="B141" t="s">
        <v>10</v>
      </c>
      <c r="C141" t="s">
        <v>16</v>
      </c>
      <c r="D141">
        <v>7</v>
      </c>
      <c r="E141">
        <v>949</v>
      </c>
      <c r="F141">
        <v>6643</v>
      </c>
      <c r="G141">
        <v>1538.76</v>
      </c>
      <c r="H141" t="s">
        <v>19</v>
      </c>
      <c r="I141" t="s">
        <v>36</v>
      </c>
      <c r="J141" t="s">
        <v>196</v>
      </c>
      <c r="K141" t="s">
        <v>188</v>
      </c>
      <c r="L141">
        <v>0.23163630889658288</v>
      </c>
      <c r="M141" t="s">
        <v>6</v>
      </c>
    </row>
    <row r="142" spans="1:13" x14ac:dyDescent="0.3">
      <c r="A142">
        <v>132</v>
      </c>
      <c r="B142" t="s">
        <v>10</v>
      </c>
      <c r="C142" t="s">
        <v>16</v>
      </c>
      <c r="D142">
        <v>3</v>
      </c>
      <c r="E142">
        <v>486</v>
      </c>
      <c r="F142">
        <v>1458</v>
      </c>
      <c r="G142">
        <v>151.05000000000001</v>
      </c>
      <c r="H142" t="s">
        <v>18</v>
      </c>
      <c r="I142" t="s">
        <v>104</v>
      </c>
      <c r="J142" t="s">
        <v>196</v>
      </c>
      <c r="K142" t="s">
        <v>183</v>
      </c>
      <c r="L142">
        <v>0.10360082304526749</v>
      </c>
      <c r="M142" t="s">
        <v>6</v>
      </c>
    </row>
    <row r="143" spans="1:13" x14ac:dyDescent="0.3">
      <c r="A143">
        <v>142</v>
      </c>
      <c r="B143" t="s">
        <v>10</v>
      </c>
      <c r="C143" t="s">
        <v>16</v>
      </c>
      <c r="D143">
        <v>9</v>
      </c>
      <c r="E143">
        <v>1901</v>
      </c>
      <c r="F143">
        <v>17109</v>
      </c>
      <c r="G143">
        <v>2831.45</v>
      </c>
      <c r="H143" t="s">
        <v>18</v>
      </c>
      <c r="I143" t="s">
        <v>82</v>
      </c>
      <c r="J143" t="s">
        <v>196</v>
      </c>
      <c r="K143" t="s">
        <v>186</v>
      </c>
      <c r="L143">
        <v>0.16549476883511602</v>
      </c>
      <c r="M143" t="s">
        <v>6</v>
      </c>
    </row>
    <row r="144" spans="1:13" x14ac:dyDescent="0.3">
      <c r="A144">
        <v>145</v>
      </c>
      <c r="B144" t="s">
        <v>9</v>
      </c>
      <c r="C144" t="s">
        <v>16</v>
      </c>
      <c r="D144">
        <v>8</v>
      </c>
      <c r="E144">
        <v>1307</v>
      </c>
      <c r="F144">
        <v>10456</v>
      </c>
      <c r="G144">
        <v>1916.72</v>
      </c>
      <c r="H144" t="s">
        <v>20</v>
      </c>
      <c r="I144" t="s">
        <v>64</v>
      </c>
      <c r="J144" t="s">
        <v>196</v>
      </c>
      <c r="K144" t="s">
        <v>183</v>
      </c>
      <c r="L144">
        <v>0.18331293037490437</v>
      </c>
      <c r="M144" t="s">
        <v>6</v>
      </c>
    </row>
    <row r="145" spans="1:13" x14ac:dyDescent="0.3">
      <c r="A145">
        <v>146</v>
      </c>
      <c r="B145" t="s">
        <v>13</v>
      </c>
      <c r="C145" t="s">
        <v>16</v>
      </c>
      <c r="D145">
        <v>3</v>
      </c>
      <c r="E145">
        <v>1827</v>
      </c>
      <c r="F145">
        <v>5481</v>
      </c>
      <c r="G145">
        <v>696.1</v>
      </c>
      <c r="H145" t="s">
        <v>19</v>
      </c>
      <c r="I145" t="s">
        <v>58</v>
      </c>
      <c r="J145" t="s">
        <v>196</v>
      </c>
      <c r="K145" t="s">
        <v>187</v>
      </c>
      <c r="L145">
        <v>0.12700237182995805</v>
      </c>
      <c r="M145" t="s">
        <v>6</v>
      </c>
    </row>
    <row r="146" spans="1:13" x14ac:dyDescent="0.3">
      <c r="A146">
        <v>158</v>
      </c>
      <c r="B146" t="s">
        <v>11</v>
      </c>
      <c r="C146" t="s">
        <v>16</v>
      </c>
      <c r="D146">
        <v>10</v>
      </c>
      <c r="E146">
        <v>1157</v>
      </c>
      <c r="F146">
        <v>11570</v>
      </c>
      <c r="G146">
        <v>1376.03</v>
      </c>
      <c r="H146" t="s">
        <v>20</v>
      </c>
      <c r="I146" t="s">
        <v>149</v>
      </c>
      <c r="J146" t="s">
        <v>196</v>
      </c>
      <c r="K146" t="s">
        <v>180</v>
      </c>
      <c r="L146">
        <v>0.11893085566119274</v>
      </c>
      <c r="M146" t="s">
        <v>6</v>
      </c>
    </row>
    <row r="147" spans="1:13" x14ac:dyDescent="0.3">
      <c r="A147">
        <v>162</v>
      </c>
      <c r="B147" t="s">
        <v>12</v>
      </c>
      <c r="C147" t="s">
        <v>16</v>
      </c>
      <c r="D147">
        <v>2</v>
      </c>
      <c r="E147">
        <v>1082</v>
      </c>
      <c r="F147">
        <v>2164</v>
      </c>
      <c r="G147">
        <v>441.77</v>
      </c>
      <c r="H147" t="s">
        <v>18</v>
      </c>
      <c r="I147" t="s">
        <v>151</v>
      </c>
      <c r="J147" t="s">
        <v>196</v>
      </c>
      <c r="K147" t="s">
        <v>184</v>
      </c>
      <c r="L147">
        <v>0.20414510166358593</v>
      </c>
      <c r="M147" t="s">
        <v>6</v>
      </c>
    </row>
    <row r="148" spans="1:13" x14ac:dyDescent="0.3">
      <c r="A148">
        <v>163</v>
      </c>
      <c r="B148" t="s">
        <v>12</v>
      </c>
      <c r="C148" t="s">
        <v>16</v>
      </c>
      <c r="D148">
        <v>6</v>
      </c>
      <c r="E148">
        <v>1003</v>
      </c>
      <c r="F148">
        <v>6018</v>
      </c>
      <c r="G148">
        <v>827.02</v>
      </c>
      <c r="H148" t="s">
        <v>19</v>
      </c>
      <c r="I148" t="s">
        <v>114</v>
      </c>
      <c r="J148" t="s">
        <v>196</v>
      </c>
      <c r="K148" t="s">
        <v>178</v>
      </c>
      <c r="L148">
        <v>0.13742439348620805</v>
      </c>
      <c r="M148" t="s">
        <v>6</v>
      </c>
    </row>
    <row r="149" spans="1:13" x14ac:dyDescent="0.3">
      <c r="A149">
        <v>176</v>
      </c>
      <c r="B149" t="s">
        <v>9</v>
      </c>
      <c r="C149" t="s">
        <v>16</v>
      </c>
      <c r="D149">
        <v>6</v>
      </c>
      <c r="E149">
        <v>497</v>
      </c>
      <c r="F149">
        <v>2982</v>
      </c>
      <c r="G149">
        <v>544.6</v>
      </c>
      <c r="H149" t="s">
        <v>19</v>
      </c>
      <c r="I149" t="s">
        <v>74</v>
      </c>
      <c r="J149" t="s">
        <v>196</v>
      </c>
      <c r="K149" t="s">
        <v>184</v>
      </c>
      <c r="L149">
        <v>0.18262910798122067</v>
      </c>
      <c r="M149" t="s">
        <v>6</v>
      </c>
    </row>
    <row r="150" spans="1:13" x14ac:dyDescent="0.3">
      <c r="A150">
        <v>183</v>
      </c>
      <c r="B150" t="s">
        <v>12</v>
      </c>
      <c r="C150" t="s">
        <v>16</v>
      </c>
      <c r="D150">
        <v>2</v>
      </c>
      <c r="E150">
        <v>710</v>
      </c>
      <c r="F150">
        <v>1420</v>
      </c>
      <c r="G150">
        <v>259.74</v>
      </c>
      <c r="H150" t="s">
        <v>20</v>
      </c>
      <c r="I150" t="s">
        <v>153</v>
      </c>
      <c r="J150" t="s">
        <v>196</v>
      </c>
      <c r="K150" t="s">
        <v>183</v>
      </c>
      <c r="L150">
        <v>0.18291549295774648</v>
      </c>
      <c r="M150" t="s">
        <v>6</v>
      </c>
    </row>
    <row r="151" spans="1:13" x14ac:dyDescent="0.3">
      <c r="A151">
        <v>184</v>
      </c>
      <c r="B151" t="s">
        <v>11</v>
      </c>
      <c r="C151" t="s">
        <v>16</v>
      </c>
      <c r="D151">
        <v>3</v>
      </c>
      <c r="E151">
        <v>1786</v>
      </c>
      <c r="F151">
        <v>5358</v>
      </c>
      <c r="G151">
        <v>772.71</v>
      </c>
      <c r="H151" t="s">
        <v>20</v>
      </c>
      <c r="I151" t="s">
        <v>145</v>
      </c>
      <c r="J151" t="s">
        <v>196</v>
      </c>
      <c r="K151" t="s">
        <v>185</v>
      </c>
      <c r="L151">
        <v>0.14421612541993281</v>
      </c>
      <c r="M151" t="s">
        <v>6</v>
      </c>
    </row>
    <row r="152" spans="1:13" x14ac:dyDescent="0.3">
      <c r="A152">
        <v>186</v>
      </c>
      <c r="B152" t="s">
        <v>10</v>
      </c>
      <c r="C152" t="s">
        <v>16</v>
      </c>
      <c r="D152">
        <v>9</v>
      </c>
      <c r="E152">
        <v>382</v>
      </c>
      <c r="F152">
        <v>3438</v>
      </c>
      <c r="G152">
        <v>738.47</v>
      </c>
      <c r="H152" t="s">
        <v>18</v>
      </c>
      <c r="I152" t="s">
        <v>162</v>
      </c>
      <c r="J152" t="s">
        <v>196</v>
      </c>
      <c r="K152" t="s">
        <v>186</v>
      </c>
      <c r="L152">
        <v>0.21479639325189065</v>
      </c>
      <c r="M152" t="s">
        <v>6</v>
      </c>
    </row>
    <row r="153" spans="1:13" x14ac:dyDescent="0.3">
      <c r="A153">
        <v>188</v>
      </c>
      <c r="B153" t="s">
        <v>12</v>
      </c>
      <c r="C153" t="s">
        <v>16</v>
      </c>
      <c r="D153">
        <v>7</v>
      </c>
      <c r="E153">
        <v>1466</v>
      </c>
      <c r="F153">
        <v>10262</v>
      </c>
      <c r="G153">
        <v>2325.92</v>
      </c>
      <c r="H153" t="s">
        <v>20</v>
      </c>
      <c r="I153" t="s">
        <v>163</v>
      </c>
      <c r="J153" t="s">
        <v>196</v>
      </c>
      <c r="K153" t="s">
        <v>184</v>
      </c>
      <c r="L153">
        <v>0.22665367374780745</v>
      </c>
      <c r="M153" t="s">
        <v>6</v>
      </c>
    </row>
    <row r="154" spans="1:13" x14ac:dyDescent="0.3">
      <c r="A154">
        <v>193</v>
      </c>
      <c r="B154" t="s">
        <v>12</v>
      </c>
      <c r="C154" t="s">
        <v>16</v>
      </c>
      <c r="D154">
        <v>1</v>
      </c>
      <c r="E154">
        <v>1799</v>
      </c>
      <c r="F154">
        <v>1799</v>
      </c>
      <c r="G154">
        <v>232.59</v>
      </c>
      <c r="H154" t="s">
        <v>18</v>
      </c>
      <c r="I154" t="s">
        <v>165</v>
      </c>
      <c r="J154" t="s">
        <v>196</v>
      </c>
      <c r="K154" t="s">
        <v>185</v>
      </c>
      <c r="L154">
        <v>0.12928849360755976</v>
      </c>
      <c r="M154" t="s">
        <v>6</v>
      </c>
    </row>
    <row r="155" spans="1:13" x14ac:dyDescent="0.3">
      <c r="A155">
        <v>199</v>
      </c>
      <c r="B155" t="s">
        <v>10</v>
      </c>
      <c r="C155" t="s">
        <v>16</v>
      </c>
      <c r="D155">
        <v>2</v>
      </c>
      <c r="E155">
        <v>1828</v>
      </c>
      <c r="F155">
        <v>3656</v>
      </c>
      <c r="G155">
        <v>941.49</v>
      </c>
      <c r="H155" t="s">
        <v>20</v>
      </c>
      <c r="I155" t="s">
        <v>169</v>
      </c>
      <c r="J155" t="s">
        <v>196</v>
      </c>
      <c r="K155" t="s">
        <v>184</v>
      </c>
      <c r="L155">
        <v>0.2575191466083151</v>
      </c>
      <c r="M155" t="s">
        <v>6</v>
      </c>
    </row>
    <row r="156" spans="1:13" x14ac:dyDescent="0.3">
      <c r="A156">
        <v>1</v>
      </c>
      <c r="B156" t="s">
        <v>9</v>
      </c>
      <c r="C156" t="s">
        <v>14</v>
      </c>
      <c r="D156">
        <v>9</v>
      </c>
      <c r="E156">
        <v>1354</v>
      </c>
      <c r="F156">
        <v>12186</v>
      </c>
      <c r="G156">
        <v>986.1</v>
      </c>
      <c r="H156" t="s">
        <v>18</v>
      </c>
      <c r="I156" t="s">
        <v>21</v>
      </c>
      <c r="J156" t="s">
        <v>196</v>
      </c>
      <c r="K156" t="s">
        <v>186</v>
      </c>
      <c r="L156">
        <v>8.0920728705071401E-2</v>
      </c>
      <c r="M156" t="s">
        <v>6</v>
      </c>
    </row>
    <row r="157" spans="1:13" x14ac:dyDescent="0.3">
      <c r="A157">
        <v>4</v>
      </c>
      <c r="B157" t="s">
        <v>11</v>
      </c>
      <c r="C157" t="s">
        <v>14</v>
      </c>
      <c r="D157">
        <v>3</v>
      </c>
      <c r="E157">
        <v>785</v>
      </c>
      <c r="F157">
        <v>2355</v>
      </c>
      <c r="G157">
        <v>160.36000000000001</v>
      </c>
      <c r="H157" t="s">
        <v>18</v>
      </c>
      <c r="I157" t="s">
        <v>24</v>
      </c>
      <c r="J157" t="s">
        <v>196</v>
      </c>
      <c r="K157" t="s">
        <v>178</v>
      </c>
      <c r="L157">
        <v>6.8093418259023361E-2</v>
      </c>
      <c r="M157" t="s">
        <v>6</v>
      </c>
    </row>
    <row r="158" spans="1:13" x14ac:dyDescent="0.3">
      <c r="A158">
        <v>9</v>
      </c>
      <c r="B158" t="s">
        <v>13</v>
      </c>
      <c r="C158" t="s">
        <v>14</v>
      </c>
      <c r="D158">
        <v>10</v>
      </c>
      <c r="E158">
        <v>673</v>
      </c>
      <c r="F158">
        <v>6730</v>
      </c>
      <c r="G158">
        <v>1848.18</v>
      </c>
      <c r="H158" t="s">
        <v>19</v>
      </c>
      <c r="I158" t="s">
        <v>29</v>
      </c>
      <c r="J158" t="s">
        <v>196</v>
      </c>
      <c r="K158" t="s">
        <v>183</v>
      </c>
      <c r="L158">
        <v>0.27461812778603267</v>
      </c>
      <c r="M158" t="s">
        <v>6</v>
      </c>
    </row>
    <row r="159" spans="1:13" x14ac:dyDescent="0.3">
      <c r="A159">
        <v>12</v>
      </c>
      <c r="B159" t="s">
        <v>9</v>
      </c>
      <c r="C159" t="s">
        <v>14</v>
      </c>
      <c r="D159">
        <v>2</v>
      </c>
      <c r="E159">
        <v>1455</v>
      </c>
      <c r="F159">
        <v>2910</v>
      </c>
      <c r="G159">
        <v>868.78</v>
      </c>
      <c r="H159" t="s">
        <v>20</v>
      </c>
      <c r="I159" t="s">
        <v>32</v>
      </c>
      <c r="J159" t="s">
        <v>196</v>
      </c>
      <c r="K159" t="s">
        <v>178</v>
      </c>
      <c r="L159">
        <v>0.29854982817869413</v>
      </c>
      <c r="M159" t="s">
        <v>6</v>
      </c>
    </row>
    <row r="160" spans="1:13" x14ac:dyDescent="0.3">
      <c r="A160">
        <v>15</v>
      </c>
      <c r="B160" t="s">
        <v>12</v>
      </c>
      <c r="C160" t="s">
        <v>14</v>
      </c>
      <c r="D160">
        <v>8</v>
      </c>
      <c r="E160">
        <v>1882</v>
      </c>
      <c r="F160">
        <v>15056</v>
      </c>
      <c r="G160">
        <v>1287.78</v>
      </c>
      <c r="H160" t="s">
        <v>20</v>
      </c>
      <c r="I160" t="s">
        <v>35</v>
      </c>
      <c r="J160" t="s">
        <v>196</v>
      </c>
      <c r="K160" t="s">
        <v>182</v>
      </c>
      <c r="L160">
        <v>8.5532678002125398E-2</v>
      </c>
      <c r="M160" t="s">
        <v>6</v>
      </c>
    </row>
    <row r="161" spans="1:13" x14ac:dyDescent="0.3">
      <c r="A161">
        <v>20</v>
      </c>
      <c r="B161" t="s">
        <v>10</v>
      </c>
      <c r="C161" t="s">
        <v>14</v>
      </c>
      <c r="D161">
        <v>3</v>
      </c>
      <c r="E161">
        <v>587</v>
      </c>
      <c r="F161">
        <v>1761</v>
      </c>
      <c r="G161">
        <v>311.98</v>
      </c>
      <c r="H161" t="s">
        <v>18</v>
      </c>
      <c r="I161" t="s">
        <v>40</v>
      </c>
      <c r="J161" t="s">
        <v>196</v>
      </c>
      <c r="K161" t="s">
        <v>188</v>
      </c>
      <c r="L161">
        <v>0.17716070414537197</v>
      </c>
      <c r="M161" t="s">
        <v>6</v>
      </c>
    </row>
    <row r="162" spans="1:13" x14ac:dyDescent="0.3">
      <c r="A162">
        <v>21</v>
      </c>
      <c r="B162" t="s">
        <v>10</v>
      </c>
      <c r="C162" t="s">
        <v>14</v>
      </c>
      <c r="D162">
        <v>10</v>
      </c>
      <c r="E162">
        <v>1031</v>
      </c>
      <c r="F162">
        <v>10310</v>
      </c>
      <c r="G162">
        <v>2881.75</v>
      </c>
      <c r="H162" t="s">
        <v>19</v>
      </c>
      <c r="I162" t="s">
        <v>41</v>
      </c>
      <c r="J162" t="s">
        <v>196</v>
      </c>
      <c r="K162" t="s">
        <v>183</v>
      </c>
      <c r="L162">
        <v>0.27951018428709989</v>
      </c>
      <c r="M162" t="s">
        <v>6</v>
      </c>
    </row>
    <row r="163" spans="1:13" x14ac:dyDescent="0.3">
      <c r="A163">
        <v>27</v>
      </c>
      <c r="B163" t="s">
        <v>12</v>
      </c>
      <c r="C163" t="s">
        <v>14</v>
      </c>
      <c r="D163">
        <v>6</v>
      </c>
      <c r="E163">
        <v>907</v>
      </c>
      <c r="F163">
        <v>5442</v>
      </c>
      <c r="G163">
        <v>1407.1</v>
      </c>
      <c r="H163" t="s">
        <v>19</v>
      </c>
      <c r="I163" t="s">
        <v>47</v>
      </c>
      <c r="J163" t="s">
        <v>196</v>
      </c>
      <c r="K163" t="s">
        <v>187</v>
      </c>
      <c r="L163">
        <v>0.25856302829841971</v>
      </c>
      <c r="M163" t="s">
        <v>6</v>
      </c>
    </row>
    <row r="164" spans="1:13" x14ac:dyDescent="0.3">
      <c r="A164">
        <v>35</v>
      </c>
      <c r="B164" t="s">
        <v>13</v>
      </c>
      <c r="C164" t="s">
        <v>14</v>
      </c>
      <c r="D164">
        <v>3</v>
      </c>
      <c r="E164">
        <v>783</v>
      </c>
      <c r="F164">
        <v>2349</v>
      </c>
      <c r="G164">
        <v>483.69</v>
      </c>
      <c r="H164" t="s">
        <v>20</v>
      </c>
      <c r="I164" t="s">
        <v>44</v>
      </c>
      <c r="J164" t="s">
        <v>196</v>
      </c>
      <c r="K164" t="s">
        <v>181</v>
      </c>
      <c r="L164">
        <v>0.20591315453384418</v>
      </c>
      <c r="M164" t="s">
        <v>6</v>
      </c>
    </row>
    <row r="165" spans="1:13" x14ac:dyDescent="0.3">
      <c r="A165">
        <v>37</v>
      </c>
      <c r="B165" t="s">
        <v>13</v>
      </c>
      <c r="C165" t="s">
        <v>14</v>
      </c>
      <c r="D165">
        <v>3</v>
      </c>
      <c r="E165">
        <v>640</v>
      </c>
      <c r="F165">
        <v>1920</v>
      </c>
      <c r="G165">
        <v>222.8</v>
      </c>
      <c r="H165" t="s">
        <v>18</v>
      </c>
      <c r="I165" t="s">
        <v>55</v>
      </c>
      <c r="J165" t="s">
        <v>196</v>
      </c>
      <c r="K165" t="s">
        <v>182</v>
      </c>
      <c r="L165">
        <v>0.11604166666666667</v>
      </c>
      <c r="M165" t="s">
        <v>6</v>
      </c>
    </row>
    <row r="166" spans="1:13" x14ac:dyDescent="0.3">
      <c r="A166">
        <v>43</v>
      </c>
      <c r="B166" t="s">
        <v>11</v>
      </c>
      <c r="C166" t="s">
        <v>14</v>
      </c>
      <c r="D166">
        <v>10</v>
      </c>
      <c r="E166">
        <v>154</v>
      </c>
      <c r="F166">
        <v>1540</v>
      </c>
      <c r="G166">
        <v>106.94</v>
      </c>
      <c r="H166" t="s">
        <v>18</v>
      </c>
      <c r="I166" t="s">
        <v>59</v>
      </c>
      <c r="J166" t="s">
        <v>196</v>
      </c>
      <c r="K166" t="s">
        <v>188</v>
      </c>
      <c r="L166">
        <v>6.9441558441558443E-2</v>
      </c>
      <c r="M166" t="s">
        <v>6</v>
      </c>
    </row>
    <row r="167" spans="1:13" x14ac:dyDescent="0.3">
      <c r="A167">
        <v>47</v>
      </c>
      <c r="B167" t="s">
        <v>12</v>
      </c>
      <c r="C167" t="s">
        <v>14</v>
      </c>
      <c r="D167">
        <v>10</v>
      </c>
      <c r="E167">
        <v>733</v>
      </c>
      <c r="F167">
        <v>7330</v>
      </c>
      <c r="G167">
        <v>1117.48</v>
      </c>
      <c r="H167" t="s">
        <v>20</v>
      </c>
      <c r="I167" t="s">
        <v>63</v>
      </c>
      <c r="J167" t="s">
        <v>196</v>
      </c>
      <c r="K167" t="s">
        <v>179</v>
      </c>
      <c r="L167">
        <v>0.15245293315143246</v>
      </c>
      <c r="M167" t="s">
        <v>6</v>
      </c>
    </row>
    <row r="168" spans="1:13" x14ac:dyDescent="0.3">
      <c r="A168">
        <v>51</v>
      </c>
      <c r="B168" t="s">
        <v>13</v>
      </c>
      <c r="C168" t="s">
        <v>14</v>
      </c>
      <c r="D168">
        <v>8</v>
      </c>
      <c r="E168">
        <v>1487</v>
      </c>
      <c r="F168">
        <v>11896</v>
      </c>
      <c r="G168">
        <v>2758.63</v>
      </c>
      <c r="H168" t="s">
        <v>18</v>
      </c>
      <c r="I168" t="s">
        <v>67</v>
      </c>
      <c r="J168" t="s">
        <v>196</v>
      </c>
      <c r="K168" t="s">
        <v>177</v>
      </c>
      <c r="L168">
        <v>0.23189559515803632</v>
      </c>
      <c r="M168" t="s">
        <v>6</v>
      </c>
    </row>
    <row r="169" spans="1:13" x14ac:dyDescent="0.3">
      <c r="A169">
        <v>54</v>
      </c>
      <c r="B169" t="s">
        <v>9</v>
      </c>
      <c r="C169" t="s">
        <v>14</v>
      </c>
      <c r="D169">
        <v>1</v>
      </c>
      <c r="E169">
        <v>1645</v>
      </c>
      <c r="F169">
        <v>1645</v>
      </c>
      <c r="G169">
        <v>394.61</v>
      </c>
      <c r="H169" t="s">
        <v>19</v>
      </c>
      <c r="I169" t="s">
        <v>70</v>
      </c>
      <c r="J169" t="s">
        <v>196</v>
      </c>
      <c r="K169" t="s">
        <v>179</v>
      </c>
      <c r="L169">
        <v>0.23988449848024318</v>
      </c>
      <c r="M169" t="s">
        <v>6</v>
      </c>
    </row>
    <row r="170" spans="1:13" x14ac:dyDescent="0.3">
      <c r="A170">
        <v>58</v>
      </c>
      <c r="B170" t="s">
        <v>9</v>
      </c>
      <c r="C170" t="s">
        <v>14</v>
      </c>
      <c r="D170">
        <v>6</v>
      </c>
      <c r="E170">
        <v>1267</v>
      </c>
      <c r="F170">
        <v>7602</v>
      </c>
      <c r="G170">
        <v>1944.16</v>
      </c>
      <c r="H170" t="s">
        <v>20</v>
      </c>
      <c r="I170" t="s">
        <v>74</v>
      </c>
      <c r="J170" t="s">
        <v>196</v>
      </c>
      <c r="K170" t="s">
        <v>184</v>
      </c>
      <c r="L170">
        <v>0.25574322546698236</v>
      </c>
      <c r="M170" t="s">
        <v>6</v>
      </c>
    </row>
    <row r="171" spans="1:13" x14ac:dyDescent="0.3">
      <c r="A171">
        <v>60</v>
      </c>
      <c r="B171" t="s">
        <v>12</v>
      </c>
      <c r="C171" t="s">
        <v>14</v>
      </c>
      <c r="D171">
        <v>4</v>
      </c>
      <c r="E171">
        <v>1462</v>
      </c>
      <c r="F171">
        <v>5848</v>
      </c>
      <c r="G171">
        <v>744.47</v>
      </c>
      <c r="H171" t="s">
        <v>20</v>
      </c>
      <c r="I171" t="s">
        <v>76</v>
      </c>
      <c r="J171" t="s">
        <v>196</v>
      </c>
      <c r="K171" t="s">
        <v>184</v>
      </c>
      <c r="L171">
        <v>0.12730335157318742</v>
      </c>
      <c r="M171" t="s">
        <v>6</v>
      </c>
    </row>
    <row r="172" spans="1:13" x14ac:dyDescent="0.3">
      <c r="A172">
        <v>65</v>
      </c>
      <c r="B172" t="s">
        <v>11</v>
      </c>
      <c r="C172" t="s">
        <v>14</v>
      </c>
      <c r="D172">
        <v>4</v>
      </c>
      <c r="E172">
        <v>1120</v>
      </c>
      <c r="F172">
        <v>4480</v>
      </c>
      <c r="G172">
        <v>732.63</v>
      </c>
      <c r="H172" t="s">
        <v>18</v>
      </c>
      <c r="I172" t="s">
        <v>81</v>
      </c>
      <c r="J172" t="s">
        <v>196</v>
      </c>
      <c r="K172" t="s">
        <v>181</v>
      </c>
      <c r="L172">
        <v>0.16353348214285715</v>
      </c>
      <c r="M172" t="s">
        <v>6</v>
      </c>
    </row>
    <row r="173" spans="1:13" x14ac:dyDescent="0.3">
      <c r="A173">
        <v>72</v>
      </c>
      <c r="B173" t="s">
        <v>11</v>
      </c>
      <c r="C173" t="s">
        <v>14</v>
      </c>
      <c r="D173">
        <v>1</v>
      </c>
      <c r="E173">
        <v>615</v>
      </c>
      <c r="F173">
        <v>615</v>
      </c>
      <c r="G173">
        <v>38.5</v>
      </c>
      <c r="H173" t="s">
        <v>19</v>
      </c>
      <c r="I173" t="s">
        <v>87</v>
      </c>
      <c r="J173" t="s">
        <v>196</v>
      </c>
      <c r="K173" t="s">
        <v>177</v>
      </c>
      <c r="L173">
        <v>6.2601626016260167E-2</v>
      </c>
      <c r="M173" t="s">
        <v>6</v>
      </c>
    </row>
    <row r="174" spans="1:13" x14ac:dyDescent="0.3">
      <c r="A174">
        <v>85</v>
      </c>
      <c r="B174" t="s">
        <v>11</v>
      </c>
      <c r="C174" t="s">
        <v>14</v>
      </c>
      <c r="D174">
        <v>7</v>
      </c>
      <c r="E174">
        <v>1711</v>
      </c>
      <c r="F174">
        <v>11977</v>
      </c>
      <c r="G174">
        <v>3512.62</v>
      </c>
      <c r="H174" t="s">
        <v>18</v>
      </c>
      <c r="I174" t="s">
        <v>98</v>
      </c>
      <c r="J174" t="s">
        <v>196</v>
      </c>
      <c r="K174" t="s">
        <v>186</v>
      </c>
      <c r="L174">
        <v>0.29328045420389076</v>
      </c>
      <c r="M174" t="s">
        <v>6</v>
      </c>
    </row>
    <row r="175" spans="1:13" x14ac:dyDescent="0.3">
      <c r="A175">
        <v>88</v>
      </c>
      <c r="B175" t="s">
        <v>10</v>
      </c>
      <c r="C175" t="s">
        <v>14</v>
      </c>
      <c r="D175">
        <v>1</v>
      </c>
      <c r="E175">
        <v>1641</v>
      </c>
      <c r="F175">
        <v>1641</v>
      </c>
      <c r="G175">
        <v>178.94</v>
      </c>
      <c r="H175" t="s">
        <v>18</v>
      </c>
      <c r="I175" t="s">
        <v>101</v>
      </c>
      <c r="J175" t="s">
        <v>196</v>
      </c>
      <c r="K175" t="s">
        <v>180</v>
      </c>
      <c r="L175">
        <v>0.10904326630103595</v>
      </c>
      <c r="M175" t="s">
        <v>6</v>
      </c>
    </row>
    <row r="176" spans="1:13" x14ac:dyDescent="0.3">
      <c r="A176">
        <v>91</v>
      </c>
      <c r="B176" t="s">
        <v>11</v>
      </c>
      <c r="C176" t="s">
        <v>14</v>
      </c>
      <c r="D176">
        <v>2</v>
      </c>
      <c r="E176">
        <v>1466</v>
      </c>
      <c r="F176">
        <v>2932</v>
      </c>
      <c r="G176">
        <v>209.67</v>
      </c>
      <c r="H176" t="s">
        <v>19</v>
      </c>
      <c r="I176" t="s">
        <v>104</v>
      </c>
      <c r="J176" t="s">
        <v>196</v>
      </c>
      <c r="K176" t="s">
        <v>183</v>
      </c>
      <c r="L176">
        <v>7.1510914051841748E-2</v>
      </c>
      <c r="M176" t="s">
        <v>6</v>
      </c>
    </row>
    <row r="177" spans="1:13" x14ac:dyDescent="0.3">
      <c r="A177">
        <v>103</v>
      </c>
      <c r="B177" t="s">
        <v>12</v>
      </c>
      <c r="C177" t="s">
        <v>14</v>
      </c>
      <c r="D177">
        <v>5</v>
      </c>
      <c r="E177">
        <v>1786</v>
      </c>
      <c r="F177">
        <v>8930</v>
      </c>
      <c r="G177">
        <v>2555.15</v>
      </c>
      <c r="H177" t="s">
        <v>19</v>
      </c>
      <c r="I177" t="s">
        <v>115</v>
      </c>
      <c r="J177" t="s">
        <v>196</v>
      </c>
      <c r="K177" t="s">
        <v>177</v>
      </c>
      <c r="L177">
        <v>0.28613101903695409</v>
      </c>
      <c r="M177" t="s">
        <v>6</v>
      </c>
    </row>
    <row r="178" spans="1:13" x14ac:dyDescent="0.3">
      <c r="A178">
        <v>112</v>
      </c>
      <c r="B178" t="s">
        <v>10</v>
      </c>
      <c r="C178" t="s">
        <v>14</v>
      </c>
      <c r="D178">
        <v>3</v>
      </c>
      <c r="E178">
        <v>1571</v>
      </c>
      <c r="F178">
        <v>4713</v>
      </c>
      <c r="G178">
        <v>764.9</v>
      </c>
      <c r="H178" t="s">
        <v>20</v>
      </c>
      <c r="I178" t="s">
        <v>58</v>
      </c>
      <c r="J178" t="s">
        <v>196</v>
      </c>
      <c r="K178" t="s">
        <v>187</v>
      </c>
      <c r="L178">
        <v>0.16229577763632505</v>
      </c>
      <c r="M178" t="s">
        <v>6</v>
      </c>
    </row>
    <row r="179" spans="1:13" x14ac:dyDescent="0.3">
      <c r="A179">
        <v>113</v>
      </c>
      <c r="B179" t="s">
        <v>12</v>
      </c>
      <c r="C179" t="s">
        <v>14</v>
      </c>
      <c r="D179">
        <v>1</v>
      </c>
      <c r="E179">
        <v>1500</v>
      </c>
      <c r="F179">
        <v>1500</v>
      </c>
      <c r="G179">
        <v>276.77999999999997</v>
      </c>
      <c r="H179" t="s">
        <v>19</v>
      </c>
      <c r="I179" t="s">
        <v>120</v>
      </c>
      <c r="J179" t="s">
        <v>196</v>
      </c>
      <c r="K179" t="s">
        <v>182</v>
      </c>
      <c r="L179">
        <v>0.18451999999999999</v>
      </c>
      <c r="M179" t="s">
        <v>6</v>
      </c>
    </row>
    <row r="180" spans="1:13" x14ac:dyDescent="0.3">
      <c r="A180">
        <v>123</v>
      </c>
      <c r="B180" t="s">
        <v>13</v>
      </c>
      <c r="C180" t="s">
        <v>14</v>
      </c>
      <c r="D180">
        <v>10</v>
      </c>
      <c r="E180">
        <v>1085</v>
      </c>
      <c r="F180">
        <v>10850</v>
      </c>
      <c r="G180">
        <v>880.05</v>
      </c>
      <c r="H180" t="s">
        <v>20</v>
      </c>
      <c r="I180" t="s">
        <v>126</v>
      </c>
      <c r="J180" t="s">
        <v>196</v>
      </c>
      <c r="K180" t="s">
        <v>188</v>
      </c>
      <c r="L180">
        <v>8.1110599078341006E-2</v>
      </c>
      <c r="M180" t="s">
        <v>6</v>
      </c>
    </row>
    <row r="181" spans="1:13" x14ac:dyDescent="0.3">
      <c r="A181">
        <v>128</v>
      </c>
      <c r="B181" t="s">
        <v>11</v>
      </c>
      <c r="C181" t="s">
        <v>14</v>
      </c>
      <c r="D181">
        <v>6</v>
      </c>
      <c r="E181">
        <v>1302</v>
      </c>
      <c r="F181">
        <v>7812</v>
      </c>
      <c r="G181">
        <v>2035.14</v>
      </c>
      <c r="H181" t="s">
        <v>19</v>
      </c>
      <c r="I181" t="s">
        <v>131</v>
      </c>
      <c r="J181" t="s">
        <v>196</v>
      </c>
      <c r="K181" t="s">
        <v>187</v>
      </c>
      <c r="L181">
        <v>0.2605145929339478</v>
      </c>
      <c r="M181" t="s">
        <v>6</v>
      </c>
    </row>
    <row r="182" spans="1:13" x14ac:dyDescent="0.3">
      <c r="A182">
        <v>133</v>
      </c>
      <c r="B182" t="s">
        <v>10</v>
      </c>
      <c r="C182" t="s">
        <v>14</v>
      </c>
      <c r="D182">
        <v>10</v>
      </c>
      <c r="E182">
        <v>560</v>
      </c>
      <c r="F182">
        <v>5600</v>
      </c>
      <c r="G182">
        <v>1152.1099999999999</v>
      </c>
      <c r="H182" t="s">
        <v>19</v>
      </c>
      <c r="I182" t="s">
        <v>133</v>
      </c>
      <c r="J182" t="s">
        <v>196</v>
      </c>
      <c r="K182" t="s">
        <v>183</v>
      </c>
      <c r="L182">
        <v>0.20573392857142855</v>
      </c>
      <c r="M182" t="s">
        <v>6</v>
      </c>
    </row>
    <row r="183" spans="1:13" x14ac:dyDescent="0.3">
      <c r="A183">
        <v>137</v>
      </c>
      <c r="B183" t="s">
        <v>10</v>
      </c>
      <c r="C183" t="s">
        <v>14</v>
      </c>
      <c r="D183">
        <v>10</v>
      </c>
      <c r="E183">
        <v>1753</v>
      </c>
      <c r="F183">
        <v>17530</v>
      </c>
      <c r="G183">
        <v>2484.6799999999998</v>
      </c>
      <c r="H183" t="s">
        <v>18</v>
      </c>
      <c r="I183" t="s">
        <v>136</v>
      </c>
      <c r="J183" t="s">
        <v>196</v>
      </c>
      <c r="K183" t="s">
        <v>182</v>
      </c>
      <c r="L183">
        <v>0.14173873359954364</v>
      </c>
      <c r="M183" t="s">
        <v>6</v>
      </c>
    </row>
    <row r="184" spans="1:13" x14ac:dyDescent="0.3">
      <c r="A184">
        <v>138</v>
      </c>
      <c r="B184" t="s">
        <v>9</v>
      </c>
      <c r="C184" t="s">
        <v>14</v>
      </c>
      <c r="D184">
        <v>2</v>
      </c>
      <c r="E184">
        <v>1054</v>
      </c>
      <c r="F184">
        <v>2108</v>
      </c>
      <c r="G184">
        <v>484.49</v>
      </c>
      <c r="H184" t="s">
        <v>19</v>
      </c>
      <c r="I184" t="s">
        <v>137</v>
      </c>
      <c r="J184" t="s">
        <v>196</v>
      </c>
      <c r="K184" t="s">
        <v>182</v>
      </c>
      <c r="L184">
        <v>0.22983396584440227</v>
      </c>
      <c r="M184" t="s">
        <v>6</v>
      </c>
    </row>
    <row r="185" spans="1:13" x14ac:dyDescent="0.3">
      <c r="A185">
        <v>140</v>
      </c>
      <c r="B185" t="s">
        <v>12</v>
      </c>
      <c r="C185" t="s">
        <v>14</v>
      </c>
      <c r="D185">
        <v>2</v>
      </c>
      <c r="E185">
        <v>1721</v>
      </c>
      <c r="F185">
        <v>3442</v>
      </c>
      <c r="G185">
        <v>670.89</v>
      </c>
      <c r="H185" t="s">
        <v>18</v>
      </c>
      <c r="I185" t="s">
        <v>53</v>
      </c>
      <c r="J185" t="s">
        <v>196</v>
      </c>
      <c r="K185" t="s">
        <v>177</v>
      </c>
      <c r="L185">
        <v>0.19491284137129575</v>
      </c>
      <c r="M185" t="s">
        <v>6</v>
      </c>
    </row>
    <row r="186" spans="1:13" x14ac:dyDescent="0.3">
      <c r="A186">
        <v>151</v>
      </c>
      <c r="B186" t="s">
        <v>10</v>
      </c>
      <c r="C186" t="s">
        <v>14</v>
      </c>
      <c r="D186">
        <v>4</v>
      </c>
      <c r="E186">
        <v>1233</v>
      </c>
      <c r="F186">
        <v>4932</v>
      </c>
      <c r="G186">
        <v>770.01</v>
      </c>
      <c r="H186" t="s">
        <v>19</v>
      </c>
      <c r="I186" t="s">
        <v>144</v>
      </c>
      <c r="J186" t="s">
        <v>196</v>
      </c>
      <c r="K186" t="s">
        <v>184</v>
      </c>
      <c r="L186">
        <v>0.15612530413625303</v>
      </c>
      <c r="M186" t="s">
        <v>6</v>
      </c>
    </row>
    <row r="187" spans="1:13" x14ac:dyDescent="0.3">
      <c r="A187">
        <v>152</v>
      </c>
      <c r="B187" t="s">
        <v>9</v>
      </c>
      <c r="C187" t="s">
        <v>14</v>
      </c>
      <c r="D187">
        <v>7</v>
      </c>
      <c r="E187">
        <v>616</v>
      </c>
      <c r="F187">
        <v>4312</v>
      </c>
      <c r="G187">
        <v>787.92</v>
      </c>
      <c r="H187" t="s">
        <v>19</v>
      </c>
      <c r="I187" t="s">
        <v>145</v>
      </c>
      <c r="J187" t="s">
        <v>196</v>
      </c>
      <c r="K187" t="s">
        <v>185</v>
      </c>
      <c r="L187">
        <v>0.18272727272727271</v>
      </c>
      <c r="M187" t="s">
        <v>6</v>
      </c>
    </row>
    <row r="188" spans="1:13" x14ac:dyDescent="0.3">
      <c r="A188">
        <v>155</v>
      </c>
      <c r="B188" t="s">
        <v>12</v>
      </c>
      <c r="C188" t="s">
        <v>14</v>
      </c>
      <c r="D188">
        <v>4</v>
      </c>
      <c r="E188">
        <v>658</v>
      </c>
      <c r="F188">
        <v>2632</v>
      </c>
      <c r="G188">
        <v>491.93</v>
      </c>
      <c r="H188" t="s">
        <v>18</v>
      </c>
      <c r="I188" t="s">
        <v>147</v>
      </c>
      <c r="J188" t="s">
        <v>196</v>
      </c>
      <c r="K188" t="s">
        <v>182</v>
      </c>
      <c r="L188">
        <v>0.18690349544072948</v>
      </c>
      <c r="M188" t="s">
        <v>6</v>
      </c>
    </row>
    <row r="189" spans="1:13" x14ac:dyDescent="0.3">
      <c r="A189">
        <v>168</v>
      </c>
      <c r="B189" t="s">
        <v>11</v>
      </c>
      <c r="C189" t="s">
        <v>14</v>
      </c>
      <c r="D189">
        <v>2</v>
      </c>
      <c r="E189">
        <v>513</v>
      </c>
      <c r="F189">
        <v>1026</v>
      </c>
      <c r="G189">
        <v>193.25</v>
      </c>
      <c r="H189" t="s">
        <v>19</v>
      </c>
      <c r="I189" t="s">
        <v>32</v>
      </c>
      <c r="J189" t="s">
        <v>196</v>
      </c>
      <c r="K189" t="s">
        <v>178</v>
      </c>
      <c r="L189">
        <v>0.18835282651072124</v>
      </c>
      <c r="M189" t="s">
        <v>6</v>
      </c>
    </row>
    <row r="190" spans="1:13" x14ac:dyDescent="0.3">
      <c r="A190">
        <v>169</v>
      </c>
      <c r="B190" t="s">
        <v>11</v>
      </c>
      <c r="C190" t="s">
        <v>14</v>
      </c>
      <c r="D190">
        <v>2</v>
      </c>
      <c r="E190">
        <v>502</v>
      </c>
      <c r="F190">
        <v>1004</v>
      </c>
      <c r="G190">
        <v>136.81</v>
      </c>
      <c r="H190" t="s">
        <v>20</v>
      </c>
      <c r="I190" t="s">
        <v>155</v>
      </c>
      <c r="J190" t="s">
        <v>196</v>
      </c>
      <c r="K190" t="s">
        <v>180</v>
      </c>
      <c r="L190">
        <v>0.13626494023904381</v>
      </c>
      <c r="M190" t="s">
        <v>6</v>
      </c>
    </row>
    <row r="191" spans="1:13" x14ac:dyDescent="0.3">
      <c r="A191">
        <v>171</v>
      </c>
      <c r="B191" t="s">
        <v>11</v>
      </c>
      <c r="C191" t="s">
        <v>14</v>
      </c>
      <c r="D191">
        <v>3</v>
      </c>
      <c r="E191">
        <v>1714</v>
      </c>
      <c r="F191">
        <v>5142</v>
      </c>
      <c r="G191">
        <v>1288.48</v>
      </c>
      <c r="H191" t="s">
        <v>19</v>
      </c>
      <c r="I191" t="s">
        <v>103</v>
      </c>
      <c r="J191" t="s">
        <v>196</v>
      </c>
      <c r="K191" t="s">
        <v>186</v>
      </c>
      <c r="L191">
        <v>0.25057954103461688</v>
      </c>
      <c r="M191" t="s">
        <v>6</v>
      </c>
    </row>
    <row r="192" spans="1:13" x14ac:dyDescent="0.3">
      <c r="A192">
        <v>172</v>
      </c>
      <c r="B192" t="s">
        <v>10</v>
      </c>
      <c r="C192" t="s">
        <v>14</v>
      </c>
      <c r="D192">
        <v>5</v>
      </c>
      <c r="E192">
        <v>570</v>
      </c>
      <c r="F192">
        <v>2850</v>
      </c>
      <c r="G192">
        <v>784.3</v>
      </c>
      <c r="H192" t="s">
        <v>20</v>
      </c>
      <c r="I192" t="s">
        <v>156</v>
      </c>
      <c r="J192" t="s">
        <v>196</v>
      </c>
      <c r="K192" t="s">
        <v>187</v>
      </c>
      <c r="L192">
        <v>0.27519298245614032</v>
      </c>
      <c r="M192" t="s">
        <v>6</v>
      </c>
    </row>
    <row r="193" spans="1:13" x14ac:dyDescent="0.3">
      <c r="A193">
        <v>173</v>
      </c>
      <c r="B193" t="s">
        <v>12</v>
      </c>
      <c r="C193" t="s">
        <v>14</v>
      </c>
      <c r="D193">
        <v>1</v>
      </c>
      <c r="E193">
        <v>320</v>
      </c>
      <c r="F193">
        <v>320</v>
      </c>
      <c r="G193">
        <v>16.079999999999998</v>
      </c>
      <c r="H193" t="s">
        <v>18</v>
      </c>
      <c r="I193" t="s">
        <v>64</v>
      </c>
      <c r="J193" t="s">
        <v>196</v>
      </c>
      <c r="K193" t="s">
        <v>183</v>
      </c>
      <c r="L193">
        <v>5.0249999999999996E-2</v>
      </c>
      <c r="M193" t="s">
        <v>6</v>
      </c>
    </row>
    <row r="194" spans="1:13" x14ac:dyDescent="0.3">
      <c r="A194">
        <v>177</v>
      </c>
      <c r="B194" t="s">
        <v>11</v>
      </c>
      <c r="C194" t="s">
        <v>14</v>
      </c>
      <c r="D194">
        <v>8</v>
      </c>
      <c r="E194">
        <v>1946</v>
      </c>
      <c r="F194">
        <v>15568</v>
      </c>
      <c r="G194">
        <v>1029.8699999999999</v>
      </c>
      <c r="H194" t="s">
        <v>19</v>
      </c>
      <c r="I194" t="s">
        <v>115</v>
      </c>
      <c r="J194" t="s">
        <v>196</v>
      </c>
      <c r="K194" t="s">
        <v>177</v>
      </c>
      <c r="L194">
        <v>6.6153006166495373E-2</v>
      </c>
      <c r="M194" t="s">
        <v>6</v>
      </c>
    </row>
    <row r="195" spans="1:13" x14ac:dyDescent="0.3">
      <c r="A195">
        <v>178</v>
      </c>
      <c r="B195" t="s">
        <v>12</v>
      </c>
      <c r="C195" t="s">
        <v>14</v>
      </c>
      <c r="D195">
        <v>7</v>
      </c>
      <c r="E195">
        <v>485</v>
      </c>
      <c r="F195">
        <v>3395</v>
      </c>
      <c r="G195">
        <v>786.05</v>
      </c>
      <c r="H195" t="s">
        <v>20</v>
      </c>
      <c r="I195" t="s">
        <v>159</v>
      </c>
      <c r="J195" t="s">
        <v>196</v>
      </c>
      <c r="K195" t="s">
        <v>179</v>
      </c>
      <c r="L195">
        <v>0.23153166421207658</v>
      </c>
      <c r="M195" t="s">
        <v>6</v>
      </c>
    </row>
    <row r="196" spans="1:13" x14ac:dyDescent="0.3">
      <c r="A196">
        <v>179</v>
      </c>
      <c r="B196" t="s">
        <v>13</v>
      </c>
      <c r="C196" t="s">
        <v>14</v>
      </c>
      <c r="D196">
        <v>7</v>
      </c>
      <c r="E196">
        <v>238</v>
      </c>
      <c r="F196">
        <v>1666</v>
      </c>
      <c r="G196">
        <v>401.91</v>
      </c>
      <c r="H196" t="s">
        <v>20</v>
      </c>
      <c r="I196" t="s">
        <v>92</v>
      </c>
      <c r="J196" t="s">
        <v>196</v>
      </c>
      <c r="K196" t="s">
        <v>188</v>
      </c>
      <c r="L196">
        <v>0.24124249699879954</v>
      </c>
      <c r="M196" t="s">
        <v>6</v>
      </c>
    </row>
    <row r="197" spans="1:13" x14ac:dyDescent="0.3">
      <c r="A197">
        <v>180</v>
      </c>
      <c r="B197" t="s">
        <v>10</v>
      </c>
      <c r="C197" t="s">
        <v>14</v>
      </c>
      <c r="D197">
        <v>4</v>
      </c>
      <c r="E197">
        <v>1245</v>
      </c>
      <c r="F197">
        <v>4980</v>
      </c>
      <c r="G197">
        <v>1326.24</v>
      </c>
      <c r="H197" t="s">
        <v>19</v>
      </c>
      <c r="I197" t="s">
        <v>43</v>
      </c>
      <c r="J197" t="s">
        <v>196</v>
      </c>
      <c r="K197" t="s">
        <v>182</v>
      </c>
      <c r="L197">
        <v>0.26631325301204817</v>
      </c>
      <c r="M197" t="s">
        <v>6</v>
      </c>
    </row>
    <row r="198" spans="1:13" x14ac:dyDescent="0.3">
      <c r="A198">
        <v>181</v>
      </c>
      <c r="B198" t="s">
        <v>11</v>
      </c>
      <c r="C198" t="s">
        <v>14</v>
      </c>
      <c r="D198">
        <v>7</v>
      </c>
      <c r="E198">
        <v>1538</v>
      </c>
      <c r="F198">
        <v>10766</v>
      </c>
      <c r="G198">
        <v>2353.88</v>
      </c>
      <c r="H198" t="s">
        <v>20</v>
      </c>
      <c r="I198" t="s">
        <v>127</v>
      </c>
      <c r="J198" t="s">
        <v>196</v>
      </c>
      <c r="K198" t="s">
        <v>188</v>
      </c>
      <c r="L198">
        <v>0.21864016347761472</v>
      </c>
      <c r="M198" t="s">
        <v>6</v>
      </c>
    </row>
    <row r="199" spans="1:13" x14ac:dyDescent="0.3">
      <c r="A199">
        <v>182</v>
      </c>
      <c r="B199" t="s">
        <v>10</v>
      </c>
      <c r="C199" t="s">
        <v>14</v>
      </c>
      <c r="D199">
        <v>7</v>
      </c>
      <c r="E199">
        <v>326</v>
      </c>
      <c r="F199">
        <v>2282</v>
      </c>
      <c r="G199">
        <v>619.66</v>
      </c>
      <c r="H199" t="s">
        <v>19</v>
      </c>
      <c r="I199" t="s">
        <v>160</v>
      </c>
      <c r="J199" t="s">
        <v>196</v>
      </c>
      <c r="K199" t="s">
        <v>181</v>
      </c>
      <c r="L199">
        <v>0.27154250657318141</v>
      </c>
      <c r="M199" t="s">
        <v>6</v>
      </c>
    </row>
    <row r="200" spans="1:13" x14ac:dyDescent="0.3">
      <c r="A200">
        <v>189</v>
      </c>
      <c r="B200" t="s">
        <v>9</v>
      </c>
      <c r="C200" t="s">
        <v>14</v>
      </c>
      <c r="D200">
        <v>4</v>
      </c>
      <c r="E200">
        <v>1390</v>
      </c>
      <c r="F200">
        <v>5560</v>
      </c>
      <c r="G200">
        <v>1629.49</v>
      </c>
      <c r="H200" t="s">
        <v>19</v>
      </c>
      <c r="I200" t="s">
        <v>47</v>
      </c>
      <c r="J200" t="s">
        <v>196</v>
      </c>
      <c r="K200" t="s">
        <v>187</v>
      </c>
      <c r="L200">
        <v>0.29307374100719424</v>
      </c>
      <c r="M200" t="s">
        <v>6</v>
      </c>
    </row>
    <row r="201" spans="1:13" x14ac:dyDescent="0.3">
      <c r="A201">
        <v>194</v>
      </c>
      <c r="B201" t="s">
        <v>12</v>
      </c>
      <c r="C201" t="s">
        <v>14</v>
      </c>
      <c r="D201">
        <v>9</v>
      </c>
      <c r="E201">
        <v>865</v>
      </c>
      <c r="F201">
        <v>7785</v>
      </c>
      <c r="G201">
        <v>2227.92</v>
      </c>
      <c r="H201" t="s">
        <v>18</v>
      </c>
      <c r="I201" t="s">
        <v>166</v>
      </c>
      <c r="J201" t="s">
        <v>196</v>
      </c>
      <c r="K201" t="s">
        <v>186</v>
      </c>
      <c r="L201">
        <v>0.28618111753371872</v>
      </c>
      <c r="M201" t="s">
        <v>6</v>
      </c>
    </row>
    <row r="202" spans="1:13" x14ac:dyDescent="0.3">
      <c r="A202">
        <v>196</v>
      </c>
      <c r="B202" t="s">
        <v>11</v>
      </c>
      <c r="C202" t="s">
        <v>14</v>
      </c>
      <c r="D202">
        <v>10</v>
      </c>
      <c r="E202">
        <v>1639</v>
      </c>
      <c r="F202">
        <v>16390</v>
      </c>
      <c r="G202">
        <v>1869.67</v>
      </c>
      <c r="H202" t="s">
        <v>20</v>
      </c>
      <c r="I202" t="s">
        <v>168</v>
      </c>
      <c r="J202" t="s">
        <v>196</v>
      </c>
      <c r="K202" t="s">
        <v>183</v>
      </c>
      <c r="L202">
        <v>0.11407382550335571</v>
      </c>
      <c r="M202" t="s">
        <v>6</v>
      </c>
    </row>
    <row r="203" spans="1:13" x14ac:dyDescent="0.3">
      <c r="A203">
        <v>197</v>
      </c>
      <c r="B203" t="s">
        <v>13</v>
      </c>
      <c r="C203" t="s">
        <v>14</v>
      </c>
      <c r="D203">
        <v>1</v>
      </c>
      <c r="E203">
        <v>250</v>
      </c>
      <c r="F203">
        <v>250</v>
      </c>
      <c r="G203">
        <v>63.34</v>
      </c>
      <c r="H203" t="s">
        <v>18</v>
      </c>
      <c r="I203" t="s">
        <v>84</v>
      </c>
      <c r="J203" t="s">
        <v>196</v>
      </c>
      <c r="K203" t="s">
        <v>180</v>
      </c>
      <c r="L203">
        <v>0.25336000000000003</v>
      </c>
      <c r="M203" t="s">
        <v>6</v>
      </c>
    </row>
  </sheetData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3B7D995-5634-4980-A866-6E187EE0BF6C}">
  <dimension ref="A1:M16"/>
  <sheetViews>
    <sheetView zoomScale="76" zoomScaleNormal="58" workbookViewId="0">
      <selection activeCell="F20" sqref="F20"/>
    </sheetView>
  </sheetViews>
  <sheetFormatPr defaultRowHeight="14.4" x14ac:dyDescent="0.3"/>
  <cols>
    <col min="1" max="1" width="12.77734375" bestFit="1" customWidth="1"/>
    <col min="2" max="2" width="17" bestFit="1" customWidth="1"/>
    <col min="3" max="3" width="4" bestFit="1" customWidth="1"/>
    <col min="4" max="4" width="12.77734375" bestFit="1" customWidth="1"/>
    <col min="5" max="5" width="17" bestFit="1" customWidth="1"/>
    <col min="6" max="6" width="10.21875" customWidth="1"/>
    <col min="7" max="7" width="10.77734375" bestFit="1" customWidth="1"/>
    <col min="8" max="8" width="18" customWidth="1"/>
    <col min="9" max="11" width="4" bestFit="1" customWidth="1"/>
    <col min="12" max="12" width="15.109375" customWidth="1"/>
    <col min="13" max="13" width="16.88671875" customWidth="1"/>
    <col min="14" max="19" width="4" bestFit="1" customWidth="1"/>
    <col min="20" max="161" width="5" bestFit="1" customWidth="1"/>
    <col min="162" max="197" width="6" bestFit="1" customWidth="1"/>
    <col min="198" max="198" width="10.77734375" bestFit="1" customWidth="1"/>
  </cols>
  <sheetData>
    <row r="1" spans="1:13" x14ac:dyDescent="0.3">
      <c r="D1" s="4" t="s">
        <v>195</v>
      </c>
      <c r="E1" t="s">
        <v>198</v>
      </c>
    </row>
    <row r="2" spans="1:13" ht="23.4" x14ac:dyDescent="0.45">
      <c r="A2" s="23" t="s">
        <v>174</v>
      </c>
      <c r="B2" s="21"/>
      <c r="D2" s="24" t="s">
        <v>189</v>
      </c>
      <c r="E2" s="25"/>
      <c r="G2" s="23" t="s">
        <v>175</v>
      </c>
      <c r="H2" s="23"/>
    </row>
    <row r="3" spans="1:13" x14ac:dyDescent="0.3">
      <c r="A3" s="4" t="s">
        <v>199</v>
      </c>
      <c r="B3" t="s">
        <v>173</v>
      </c>
      <c r="D3" s="4" t="s">
        <v>200</v>
      </c>
      <c r="E3" t="s">
        <v>173</v>
      </c>
      <c r="G3" s="4" t="s">
        <v>2</v>
      </c>
      <c r="H3" t="s">
        <v>171</v>
      </c>
    </row>
    <row r="4" spans="1:13" ht="23.4" x14ac:dyDescent="0.45">
      <c r="A4" s="5" t="s">
        <v>13</v>
      </c>
      <c r="B4" s="15">
        <v>160369</v>
      </c>
      <c r="D4" s="5" t="s">
        <v>177</v>
      </c>
      <c r="E4" s="15">
        <v>108109</v>
      </c>
      <c r="G4" s="5" t="s">
        <v>17</v>
      </c>
      <c r="H4" s="13">
        <v>61865.11</v>
      </c>
      <c r="L4" s="6"/>
      <c r="M4" s="6"/>
    </row>
    <row r="5" spans="1:13" x14ac:dyDescent="0.3">
      <c r="A5" s="5" t="s">
        <v>9</v>
      </c>
      <c r="B5" s="15">
        <v>221294</v>
      </c>
      <c r="D5" s="5" t="s">
        <v>178</v>
      </c>
      <c r="E5" s="15">
        <v>58337</v>
      </c>
      <c r="G5" s="5" t="s">
        <v>15</v>
      </c>
      <c r="H5" s="13">
        <v>58468.090000000004</v>
      </c>
    </row>
    <row r="6" spans="1:13" x14ac:dyDescent="0.3">
      <c r="A6" s="5" t="s">
        <v>11</v>
      </c>
      <c r="B6" s="15">
        <v>297026</v>
      </c>
      <c r="D6" s="5" t="s">
        <v>179</v>
      </c>
      <c r="E6" s="15">
        <v>41423</v>
      </c>
      <c r="G6" s="5" t="s">
        <v>16</v>
      </c>
      <c r="H6" s="13">
        <v>47616.699999999983</v>
      </c>
    </row>
    <row r="7" spans="1:13" x14ac:dyDescent="0.3">
      <c r="A7" s="5" t="s">
        <v>10</v>
      </c>
      <c r="B7" s="15">
        <v>272265</v>
      </c>
      <c r="D7" s="5" t="s">
        <v>180</v>
      </c>
      <c r="E7" s="15">
        <v>52657</v>
      </c>
      <c r="G7" s="5" t="s">
        <v>14</v>
      </c>
      <c r="H7" s="13">
        <v>50278.170000000006</v>
      </c>
    </row>
    <row r="8" spans="1:13" x14ac:dyDescent="0.3">
      <c r="A8" s="5" t="s">
        <v>12</v>
      </c>
      <c r="B8" s="15">
        <v>220265</v>
      </c>
      <c r="D8" s="5" t="s">
        <v>181</v>
      </c>
      <c r="E8" s="15">
        <v>125577</v>
      </c>
      <c r="G8" s="5" t="s">
        <v>172</v>
      </c>
      <c r="H8" s="13">
        <v>218228.07</v>
      </c>
    </row>
    <row r="9" spans="1:13" x14ac:dyDescent="0.3">
      <c r="A9" s="5" t="s">
        <v>172</v>
      </c>
      <c r="B9" s="15">
        <v>1171219</v>
      </c>
      <c r="D9" s="5" t="s">
        <v>182</v>
      </c>
      <c r="E9" s="15">
        <v>89804</v>
      </c>
    </row>
    <row r="10" spans="1:13" x14ac:dyDescent="0.3">
      <c r="D10" s="5" t="s">
        <v>183</v>
      </c>
      <c r="E10" s="15">
        <v>122413</v>
      </c>
    </row>
    <row r="11" spans="1:13" x14ac:dyDescent="0.3">
      <c r="D11" s="5" t="s">
        <v>184</v>
      </c>
      <c r="E11" s="15">
        <v>131284</v>
      </c>
    </row>
    <row r="12" spans="1:13" x14ac:dyDescent="0.3">
      <c r="D12" s="5" t="s">
        <v>185</v>
      </c>
      <c r="E12" s="15">
        <v>81607</v>
      </c>
    </row>
    <row r="13" spans="1:13" x14ac:dyDescent="0.3">
      <c r="D13" s="5" t="s">
        <v>186</v>
      </c>
      <c r="E13" s="15">
        <v>123396</v>
      </c>
    </row>
    <row r="14" spans="1:13" x14ac:dyDescent="0.3">
      <c r="D14" s="5" t="s">
        <v>187</v>
      </c>
      <c r="E14" s="15">
        <v>89752</v>
      </c>
    </row>
    <row r="15" spans="1:13" x14ac:dyDescent="0.3">
      <c r="D15" s="5" t="s">
        <v>188</v>
      </c>
      <c r="E15" s="15">
        <v>146860</v>
      </c>
    </row>
    <row r="16" spans="1:13" x14ac:dyDescent="0.3">
      <c r="D16" s="5" t="s">
        <v>172</v>
      </c>
      <c r="E16" s="15">
        <v>1171219</v>
      </c>
    </row>
  </sheetData>
  <mergeCells count="3">
    <mergeCell ref="A2:B2"/>
    <mergeCell ref="D2:E2"/>
    <mergeCell ref="G2:H2"/>
  </mergeCells>
  <conditionalFormatting sqref="B1:B3 B10:B1048576">
    <cfRule type="dataBar" priority="2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{A45B08A5-84B6-4FD9-8675-4E446847425E}</x14:id>
        </ext>
      </extLst>
    </cfRule>
  </conditionalFormatting>
  <conditionalFormatting sqref="H2:H3">
    <cfRule type="dataBar" priority="1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{332E02B7-39EB-4B4F-8799-822522496727}</x14:id>
        </ext>
      </extLst>
    </cfRule>
  </conditionalFormatting>
  <pageMargins left="0.7" right="0.7" top="0.75" bottom="0.75" header="0.3" footer="0.3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A45B08A5-84B6-4FD9-8675-4E446847425E}">
            <x14:dataBar minLength="0" maxLength="100" border="1" negativeBarBorderColorSameAsPositive="0">
              <x14:cfvo type="autoMin"/>
              <x14:cfvo type="autoMax"/>
              <x14:borderColor rgb="FF008AEF"/>
              <x14:negativeFillColor rgb="FFFF0000"/>
              <x14:negativeBorderColor rgb="FFFF0000"/>
              <x14:axisColor rgb="FF000000"/>
            </x14:dataBar>
          </x14:cfRule>
          <xm:sqref>B1:B3 B10:B1048576</xm:sqref>
        </x14:conditionalFormatting>
        <x14:conditionalFormatting xmlns:xm="http://schemas.microsoft.com/office/excel/2006/main">
          <x14:cfRule type="dataBar" id="{332E02B7-39EB-4B4F-8799-822522496727}">
            <x14:dataBar minLength="0" maxLength="100" border="1" negativeBarBorderColorSameAsPositive="0">
              <x14:cfvo type="autoMin"/>
              <x14:cfvo type="autoMax"/>
              <x14:borderColor rgb="FF008AEF"/>
              <x14:negativeFillColor rgb="FFFF0000"/>
              <x14:negativeBorderColor rgb="FFFF0000"/>
              <x14:axisColor rgb="FF000000"/>
            </x14:dataBar>
          </x14:cfRule>
          <xm:sqref>H2:H3</xm:sqref>
        </x14:conditionalFormatting>
      </x14:conditionalFormattings>
    </ext>
  </extLst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M201"/>
  <sheetViews>
    <sheetView zoomScale="67" workbookViewId="0">
      <selection activeCell="J2" sqref="J2"/>
    </sheetView>
  </sheetViews>
  <sheetFormatPr defaultRowHeight="14.4" x14ac:dyDescent="0.3"/>
  <cols>
    <col min="1" max="1" width="13" bestFit="1" customWidth="1"/>
    <col min="2" max="2" width="9.77734375" bestFit="1" customWidth="1"/>
    <col min="3" max="3" width="10.44140625" customWidth="1"/>
    <col min="4" max="4" width="10.21875" customWidth="1"/>
    <col min="5" max="5" width="11.5546875" customWidth="1"/>
    <col min="6" max="6" width="12.33203125" customWidth="1"/>
    <col min="7" max="7" width="10.109375" bestFit="1" customWidth="1"/>
    <col min="8" max="8" width="18" customWidth="1"/>
    <col min="9" max="9" width="15.109375" bestFit="1" customWidth="1"/>
    <col min="10" max="11" width="15.109375" customWidth="1"/>
    <col min="12" max="12" width="16.5546875" style="2" bestFit="1" customWidth="1"/>
    <col min="13" max="13" width="11.21875" customWidth="1"/>
  </cols>
  <sheetData>
    <row r="1" spans="1:13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195</v>
      </c>
      <c r="K1" s="1" t="s">
        <v>176</v>
      </c>
      <c r="L1" s="3" t="s">
        <v>170</v>
      </c>
      <c r="M1" s="1" t="s">
        <v>194</v>
      </c>
    </row>
    <row r="2" spans="1:13" x14ac:dyDescent="0.3">
      <c r="A2">
        <v>1</v>
      </c>
      <c r="B2" t="s">
        <v>9</v>
      </c>
      <c r="C2" t="s">
        <v>14</v>
      </c>
      <c r="D2">
        <v>9</v>
      </c>
      <c r="E2">
        <v>1354</v>
      </c>
      <c r="F2">
        <v>12186</v>
      </c>
      <c r="G2">
        <v>986.1</v>
      </c>
      <c r="H2" t="s">
        <v>18</v>
      </c>
      <c r="I2" t="s">
        <v>21</v>
      </c>
      <c r="J2" t="str">
        <f t="shared" ref="J2:J33" si="0">TEXT(I:I,"yyyy")</f>
        <v>2023</v>
      </c>
      <c r="K2" t="str">
        <f t="shared" ref="K2:K33" si="1">TEXT(I2,"mmm")</f>
        <v>Oct</v>
      </c>
      <c r="L2" s="2">
        <f t="shared" ref="L2:L33" si="2">G2/F2</f>
        <v>8.0920728705071401E-2</v>
      </c>
      <c r="M2" t="str">
        <f>IF(Table1[[#This Row],[Profit Margin]]&gt;0,"Profit")</f>
        <v>Profit</v>
      </c>
    </row>
    <row r="3" spans="1:13" x14ac:dyDescent="0.3">
      <c r="A3">
        <v>2</v>
      </c>
      <c r="B3" t="s">
        <v>9</v>
      </c>
      <c r="C3" t="s">
        <v>15</v>
      </c>
      <c r="D3">
        <v>9</v>
      </c>
      <c r="E3">
        <v>1733</v>
      </c>
      <c r="F3">
        <v>15597</v>
      </c>
      <c r="G3">
        <v>3483.36</v>
      </c>
      <c r="H3" t="s">
        <v>19</v>
      </c>
      <c r="I3" t="s">
        <v>22</v>
      </c>
      <c r="J3" t="str">
        <f t="shared" si="0"/>
        <v>2023</v>
      </c>
      <c r="K3" t="str">
        <f t="shared" si="1"/>
        <v>May</v>
      </c>
      <c r="L3" s="2">
        <f t="shared" si="2"/>
        <v>0.22333525678015004</v>
      </c>
      <c r="M3" t="str">
        <f>IF(Table1[[#This Row],[Profit Margin]]&gt;0,"Profit")</f>
        <v>Profit</v>
      </c>
    </row>
    <row r="4" spans="1:13" x14ac:dyDescent="0.3">
      <c r="A4">
        <v>3</v>
      </c>
      <c r="B4" t="s">
        <v>10</v>
      </c>
      <c r="C4" t="s">
        <v>15</v>
      </c>
      <c r="D4">
        <v>10</v>
      </c>
      <c r="E4">
        <v>1777</v>
      </c>
      <c r="F4">
        <v>17770</v>
      </c>
      <c r="G4">
        <v>3116.78</v>
      </c>
      <c r="H4" t="s">
        <v>18</v>
      </c>
      <c r="I4" t="s">
        <v>23</v>
      </c>
      <c r="J4" t="str">
        <f t="shared" si="0"/>
        <v>2023</v>
      </c>
      <c r="K4" t="str">
        <f t="shared" si="1"/>
        <v>Mar</v>
      </c>
      <c r="L4" s="2">
        <f t="shared" si="2"/>
        <v>0.1753956105796286</v>
      </c>
      <c r="M4" t="str">
        <f>IF(Table1[[#This Row],[Profit Margin]]&gt;0,"Profit")</f>
        <v>Profit</v>
      </c>
    </row>
    <row r="5" spans="1:13" x14ac:dyDescent="0.3">
      <c r="A5">
        <v>4</v>
      </c>
      <c r="B5" t="s">
        <v>11</v>
      </c>
      <c r="C5" t="s">
        <v>14</v>
      </c>
      <c r="D5">
        <v>3</v>
      </c>
      <c r="E5">
        <v>785</v>
      </c>
      <c r="F5">
        <v>2355</v>
      </c>
      <c r="G5">
        <v>160.36000000000001</v>
      </c>
      <c r="H5" t="s">
        <v>18</v>
      </c>
      <c r="I5" t="s">
        <v>24</v>
      </c>
      <c r="J5" t="str">
        <f t="shared" si="0"/>
        <v>2023</v>
      </c>
      <c r="K5" t="str">
        <f t="shared" si="1"/>
        <v>Feb</v>
      </c>
      <c r="L5" s="2">
        <f t="shared" si="2"/>
        <v>6.8093418259023361E-2</v>
      </c>
      <c r="M5" t="str">
        <f>IF(Table1[[#This Row],[Profit Margin]]&gt;0,"Profit")</f>
        <v>Profit</v>
      </c>
    </row>
    <row r="6" spans="1:13" x14ac:dyDescent="0.3">
      <c r="A6">
        <v>5</v>
      </c>
      <c r="B6" t="s">
        <v>11</v>
      </c>
      <c r="C6" t="s">
        <v>16</v>
      </c>
      <c r="D6">
        <v>10</v>
      </c>
      <c r="E6">
        <v>1815</v>
      </c>
      <c r="F6">
        <v>18150</v>
      </c>
      <c r="G6">
        <v>4456.0200000000004</v>
      </c>
      <c r="H6" t="s">
        <v>19</v>
      </c>
      <c r="I6" t="s">
        <v>25</v>
      </c>
      <c r="J6" t="str">
        <f t="shared" si="0"/>
        <v>2023</v>
      </c>
      <c r="K6" t="str">
        <f t="shared" si="1"/>
        <v>May</v>
      </c>
      <c r="L6" s="2">
        <f t="shared" si="2"/>
        <v>0.24551074380165291</v>
      </c>
      <c r="M6" t="str">
        <f>IF(Table1[[#This Row],[Profit Margin]]&gt;0,"Profit")</f>
        <v>Profit</v>
      </c>
    </row>
    <row r="7" spans="1:13" x14ac:dyDescent="0.3">
      <c r="A7">
        <v>6</v>
      </c>
      <c r="B7" t="s">
        <v>12</v>
      </c>
      <c r="C7" t="s">
        <v>15</v>
      </c>
      <c r="D7">
        <v>10</v>
      </c>
      <c r="E7">
        <v>630</v>
      </c>
      <c r="F7">
        <v>6300</v>
      </c>
      <c r="G7">
        <v>1435.55</v>
      </c>
      <c r="H7" t="s">
        <v>20</v>
      </c>
      <c r="I7" t="s">
        <v>26</v>
      </c>
      <c r="J7" t="str">
        <f t="shared" si="0"/>
        <v>2023</v>
      </c>
      <c r="K7" t="str">
        <f t="shared" si="1"/>
        <v>May</v>
      </c>
      <c r="L7" s="2">
        <f t="shared" si="2"/>
        <v>0.22786507936507935</v>
      </c>
      <c r="M7" t="str">
        <f>IF(Table1[[#This Row],[Profit Margin]]&gt;0,"Profit")</f>
        <v>Profit</v>
      </c>
    </row>
    <row r="8" spans="1:13" x14ac:dyDescent="0.3">
      <c r="A8">
        <v>7</v>
      </c>
      <c r="B8" t="s">
        <v>12</v>
      </c>
      <c r="C8" t="s">
        <v>15</v>
      </c>
      <c r="D8">
        <v>7</v>
      </c>
      <c r="E8">
        <v>133</v>
      </c>
      <c r="F8">
        <v>931</v>
      </c>
      <c r="G8">
        <v>179.06</v>
      </c>
      <c r="H8" t="s">
        <v>18</v>
      </c>
      <c r="I8" t="s">
        <v>27</v>
      </c>
      <c r="J8" t="str">
        <f t="shared" si="0"/>
        <v>2023</v>
      </c>
      <c r="K8" t="str">
        <f t="shared" si="1"/>
        <v>Jun</v>
      </c>
      <c r="L8" s="2">
        <f t="shared" si="2"/>
        <v>0.19233082706766919</v>
      </c>
      <c r="M8" t="str">
        <f>IF(Table1[[#This Row],[Profit Margin]]&gt;0,"Profit")</f>
        <v>Profit</v>
      </c>
    </row>
    <row r="9" spans="1:13" x14ac:dyDescent="0.3">
      <c r="A9">
        <v>8</v>
      </c>
      <c r="B9" t="s">
        <v>10</v>
      </c>
      <c r="C9" t="s">
        <v>16</v>
      </c>
      <c r="D9">
        <v>3</v>
      </c>
      <c r="E9">
        <v>1824</v>
      </c>
      <c r="F9">
        <v>5472</v>
      </c>
      <c r="G9">
        <v>1330.36</v>
      </c>
      <c r="H9" t="s">
        <v>19</v>
      </c>
      <c r="I9" t="s">
        <v>28</v>
      </c>
      <c r="J9" t="str">
        <f t="shared" si="0"/>
        <v>2023</v>
      </c>
      <c r="K9" t="str">
        <f t="shared" si="1"/>
        <v>Sep</v>
      </c>
      <c r="L9" s="2">
        <f t="shared" si="2"/>
        <v>0.24312134502923974</v>
      </c>
      <c r="M9" t="str">
        <f>IF(Table1[[#This Row],[Profit Margin]]&gt;0,"Profit")</f>
        <v>Profit</v>
      </c>
    </row>
    <row r="10" spans="1:13" x14ac:dyDescent="0.3">
      <c r="A10">
        <v>9</v>
      </c>
      <c r="B10" t="s">
        <v>13</v>
      </c>
      <c r="C10" t="s">
        <v>14</v>
      </c>
      <c r="D10">
        <v>10</v>
      </c>
      <c r="E10">
        <v>673</v>
      </c>
      <c r="F10">
        <v>6730</v>
      </c>
      <c r="G10">
        <v>1848.18</v>
      </c>
      <c r="H10" t="s">
        <v>19</v>
      </c>
      <c r="I10" t="s">
        <v>29</v>
      </c>
      <c r="J10" t="str">
        <f t="shared" si="0"/>
        <v>2023</v>
      </c>
      <c r="K10" t="str">
        <f t="shared" si="1"/>
        <v>Jul</v>
      </c>
      <c r="L10" s="2">
        <f t="shared" si="2"/>
        <v>0.27461812778603267</v>
      </c>
      <c r="M10" t="str">
        <f>IF(Table1[[#This Row],[Profit Margin]]&gt;0,"Profit")</f>
        <v>Profit</v>
      </c>
    </row>
    <row r="11" spans="1:13" x14ac:dyDescent="0.3">
      <c r="A11">
        <v>10</v>
      </c>
      <c r="B11" t="s">
        <v>9</v>
      </c>
      <c r="C11" t="s">
        <v>15</v>
      </c>
      <c r="D11">
        <v>2</v>
      </c>
      <c r="E11">
        <v>1464</v>
      </c>
      <c r="F11">
        <v>2928</v>
      </c>
      <c r="G11">
        <v>816.81</v>
      </c>
      <c r="H11" t="s">
        <v>18</v>
      </c>
      <c r="I11" t="s">
        <v>30</v>
      </c>
      <c r="J11" t="str">
        <f t="shared" si="0"/>
        <v>2023</v>
      </c>
      <c r="K11" t="str">
        <f t="shared" si="1"/>
        <v>Oct</v>
      </c>
      <c r="L11" s="2">
        <f t="shared" si="2"/>
        <v>0.27896516393442622</v>
      </c>
      <c r="M11" t="str">
        <f>IF(Table1[[#This Row],[Profit Margin]]&gt;0,"Profit")</f>
        <v>Profit</v>
      </c>
    </row>
    <row r="12" spans="1:13" x14ac:dyDescent="0.3">
      <c r="A12">
        <v>11</v>
      </c>
      <c r="B12" t="s">
        <v>9</v>
      </c>
      <c r="C12" t="s">
        <v>17</v>
      </c>
      <c r="D12">
        <v>9</v>
      </c>
      <c r="E12">
        <v>837</v>
      </c>
      <c r="F12">
        <v>7533</v>
      </c>
      <c r="G12">
        <v>1063.26</v>
      </c>
      <c r="H12" t="s">
        <v>19</v>
      </c>
      <c r="I12" t="s">
        <v>31</v>
      </c>
      <c r="J12" t="str">
        <f t="shared" si="0"/>
        <v>2023</v>
      </c>
      <c r="K12" t="str">
        <f t="shared" si="1"/>
        <v>Feb</v>
      </c>
      <c r="L12" s="2">
        <f t="shared" si="2"/>
        <v>0.14114695340501793</v>
      </c>
      <c r="M12" t="str">
        <f>IF(Table1[[#This Row],[Profit Margin]]&gt;0,"Profit")</f>
        <v>Profit</v>
      </c>
    </row>
    <row r="13" spans="1:13" x14ac:dyDescent="0.3">
      <c r="A13">
        <v>12</v>
      </c>
      <c r="B13" t="s">
        <v>9</v>
      </c>
      <c r="C13" t="s">
        <v>14</v>
      </c>
      <c r="D13">
        <v>2</v>
      </c>
      <c r="E13">
        <v>1455</v>
      </c>
      <c r="F13">
        <v>2910</v>
      </c>
      <c r="G13">
        <v>868.78</v>
      </c>
      <c r="H13" t="s">
        <v>20</v>
      </c>
      <c r="I13" t="s">
        <v>32</v>
      </c>
      <c r="J13" t="str">
        <f t="shared" si="0"/>
        <v>2023</v>
      </c>
      <c r="K13" t="str">
        <f t="shared" si="1"/>
        <v>Feb</v>
      </c>
      <c r="L13" s="2">
        <f t="shared" si="2"/>
        <v>0.29854982817869413</v>
      </c>
      <c r="M13" t="str">
        <f>IF(Table1[[#This Row],[Profit Margin]]&gt;0,"Profit")</f>
        <v>Profit</v>
      </c>
    </row>
    <row r="14" spans="1:13" x14ac:dyDescent="0.3">
      <c r="A14">
        <v>13</v>
      </c>
      <c r="B14" t="s">
        <v>11</v>
      </c>
      <c r="C14" t="s">
        <v>17</v>
      </c>
      <c r="D14">
        <v>2</v>
      </c>
      <c r="E14">
        <v>602</v>
      </c>
      <c r="F14">
        <v>1204</v>
      </c>
      <c r="G14">
        <v>111.83</v>
      </c>
      <c r="H14" t="s">
        <v>19</v>
      </c>
      <c r="I14" t="s">
        <v>33</v>
      </c>
      <c r="J14" t="str">
        <f t="shared" si="0"/>
        <v>2023</v>
      </c>
      <c r="K14" t="str">
        <f t="shared" si="1"/>
        <v>Apr</v>
      </c>
      <c r="L14" s="2">
        <f t="shared" si="2"/>
        <v>9.2882059800664454E-2</v>
      </c>
      <c r="M14" t="str">
        <f>IF(Table1[[#This Row],[Profit Margin]]&gt;0,"Profit")</f>
        <v>Profit</v>
      </c>
    </row>
    <row r="15" spans="1:13" x14ac:dyDescent="0.3">
      <c r="A15">
        <v>14</v>
      </c>
      <c r="B15" t="s">
        <v>12</v>
      </c>
      <c r="C15" t="s">
        <v>17</v>
      </c>
      <c r="D15">
        <v>1</v>
      </c>
      <c r="E15">
        <v>449</v>
      </c>
      <c r="F15">
        <v>449</v>
      </c>
      <c r="G15">
        <v>63.14</v>
      </c>
      <c r="H15" t="s">
        <v>18</v>
      </c>
      <c r="I15" t="s">
        <v>34</v>
      </c>
      <c r="J15" t="str">
        <f t="shared" si="0"/>
        <v>2023</v>
      </c>
      <c r="K15" t="str">
        <f t="shared" si="1"/>
        <v>Sep</v>
      </c>
      <c r="L15" s="2">
        <f t="shared" si="2"/>
        <v>0.14062360801781737</v>
      </c>
      <c r="M15" t="str">
        <f>IF(Table1[[#This Row],[Profit Margin]]&gt;0,"Profit")</f>
        <v>Profit</v>
      </c>
    </row>
    <row r="16" spans="1:13" x14ac:dyDescent="0.3">
      <c r="A16">
        <v>15</v>
      </c>
      <c r="B16" t="s">
        <v>12</v>
      </c>
      <c r="C16" t="s">
        <v>14</v>
      </c>
      <c r="D16">
        <v>8</v>
      </c>
      <c r="E16">
        <v>1882</v>
      </c>
      <c r="F16">
        <v>15056</v>
      </c>
      <c r="G16">
        <v>1287.78</v>
      </c>
      <c r="H16" t="s">
        <v>20</v>
      </c>
      <c r="I16" t="s">
        <v>35</v>
      </c>
      <c r="J16" t="str">
        <f t="shared" si="0"/>
        <v>2023</v>
      </c>
      <c r="K16" t="str">
        <f t="shared" si="1"/>
        <v>Jun</v>
      </c>
      <c r="L16" s="2">
        <f t="shared" si="2"/>
        <v>8.5532678002125398E-2</v>
      </c>
      <c r="M16" t="str">
        <f>IF(Table1[[#This Row],[Profit Margin]]&gt;0,"Profit")</f>
        <v>Profit</v>
      </c>
    </row>
    <row r="17" spans="1:13" x14ac:dyDescent="0.3">
      <c r="A17">
        <v>16</v>
      </c>
      <c r="B17" t="s">
        <v>11</v>
      </c>
      <c r="C17" t="s">
        <v>15</v>
      </c>
      <c r="D17">
        <v>4</v>
      </c>
      <c r="E17">
        <v>602</v>
      </c>
      <c r="F17">
        <v>2408</v>
      </c>
      <c r="G17">
        <v>176.03</v>
      </c>
      <c r="H17" t="s">
        <v>19</v>
      </c>
      <c r="I17" t="s">
        <v>36</v>
      </c>
      <c r="J17" t="str">
        <f t="shared" si="0"/>
        <v>2023</v>
      </c>
      <c r="K17" t="str">
        <f t="shared" si="1"/>
        <v>Dec</v>
      </c>
      <c r="L17" s="2">
        <f t="shared" si="2"/>
        <v>7.3102159468438538E-2</v>
      </c>
      <c r="M17" t="str">
        <f>IF(Table1[[#This Row],[Profit Margin]]&gt;0,"Profit")</f>
        <v>Profit</v>
      </c>
    </row>
    <row r="18" spans="1:13" x14ac:dyDescent="0.3">
      <c r="A18">
        <v>17</v>
      </c>
      <c r="B18" t="s">
        <v>9</v>
      </c>
      <c r="C18" t="s">
        <v>15</v>
      </c>
      <c r="D18">
        <v>10</v>
      </c>
      <c r="E18">
        <v>1731</v>
      </c>
      <c r="F18">
        <v>17310</v>
      </c>
      <c r="G18">
        <v>1620.1</v>
      </c>
      <c r="H18" t="s">
        <v>19</v>
      </c>
      <c r="I18" t="s">
        <v>37</v>
      </c>
      <c r="J18" t="str">
        <f t="shared" si="0"/>
        <v>2023</v>
      </c>
      <c r="K18" t="str">
        <f t="shared" si="1"/>
        <v>May</v>
      </c>
      <c r="L18" s="2">
        <f t="shared" si="2"/>
        <v>9.3593298671288266E-2</v>
      </c>
      <c r="M18" t="str">
        <f>IF(Table1[[#This Row],[Profit Margin]]&gt;0,"Profit")</f>
        <v>Profit</v>
      </c>
    </row>
    <row r="19" spans="1:13" x14ac:dyDescent="0.3">
      <c r="A19">
        <v>18</v>
      </c>
      <c r="B19" t="s">
        <v>9</v>
      </c>
      <c r="C19" t="s">
        <v>16</v>
      </c>
      <c r="D19">
        <v>7</v>
      </c>
      <c r="E19">
        <v>700</v>
      </c>
      <c r="F19">
        <v>4900</v>
      </c>
      <c r="G19">
        <v>1028.3599999999999</v>
      </c>
      <c r="H19" t="s">
        <v>18</v>
      </c>
      <c r="I19" t="s">
        <v>38</v>
      </c>
      <c r="J19" t="str">
        <f t="shared" si="0"/>
        <v>2023</v>
      </c>
      <c r="K19" t="str">
        <f t="shared" si="1"/>
        <v>Feb</v>
      </c>
      <c r="L19" s="2">
        <f t="shared" si="2"/>
        <v>0.20986938775510203</v>
      </c>
      <c r="M19" t="str">
        <f>IF(Table1[[#This Row],[Profit Margin]]&gt;0,"Profit")</f>
        <v>Profit</v>
      </c>
    </row>
    <row r="20" spans="1:13" x14ac:dyDescent="0.3">
      <c r="A20">
        <v>19</v>
      </c>
      <c r="B20" t="s">
        <v>13</v>
      </c>
      <c r="C20" t="s">
        <v>17</v>
      </c>
      <c r="D20">
        <v>5</v>
      </c>
      <c r="E20">
        <v>972</v>
      </c>
      <c r="F20">
        <v>4860</v>
      </c>
      <c r="G20">
        <v>1147.43</v>
      </c>
      <c r="H20" t="s">
        <v>19</v>
      </c>
      <c r="I20" t="s">
        <v>39</v>
      </c>
      <c r="J20" t="str">
        <f t="shared" si="0"/>
        <v>2023</v>
      </c>
      <c r="K20" t="str">
        <f t="shared" si="1"/>
        <v>Apr</v>
      </c>
      <c r="L20" s="2">
        <f t="shared" si="2"/>
        <v>0.23609670781893005</v>
      </c>
      <c r="M20" t="str">
        <f>IF(Table1[[#This Row],[Profit Margin]]&gt;0,"Profit")</f>
        <v>Profit</v>
      </c>
    </row>
    <row r="21" spans="1:13" x14ac:dyDescent="0.3">
      <c r="A21">
        <v>20</v>
      </c>
      <c r="B21" t="s">
        <v>10</v>
      </c>
      <c r="C21" t="s">
        <v>14</v>
      </c>
      <c r="D21">
        <v>3</v>
      </c>
      <c r="E21">
        <v>587</v>
      </c>
      <c r="F21">
        <v>1761</v>
      </c>
      <c r="G21">
        <v>311.98</v>
      </c>
      <c r="H21" t="s">
        <v>18</v>
      </c>
      <c r="I21" t="s">
        <v>40</v>
      </c>
      <c r="J21" t="str">
        <f t="shared" si="0"/>
        <v>2023</v>
      </c>
      <c r="K21" t="str">
        <f t="shared" si="1"/>
        <v>Dec</v>
      </c>
      <c r="L21" s="2">
        <f t="shared" si="2"/>
        <v>0.17716070414537197</v>
      </c>
      <c r="M21" t="str">
        <f>IF(Table1[[#This Row],[Profit Margin]]&gt;0,"Profit")</f>
        <v>Profit</v>
      </c>
    </row>
    <row r="22" spans="1:13" x14ac:dyDescent="0.3">
      <c r="A22">
        <v>21</v>
      </c>
      <c r="B22" t="s">
        <v>10</v>
      </c>
      <c r="C22" t="s">
        <v>14</v>
      </c>
      <c r="D22">
        <v>10</v>
      </c>
      <c r="E22">
        <v>1031</v>
      </c>
      <c r="F22">
        <v>10310</v>
      </c>
      <c r="G22">
        <v>2881.75</v>
      </c>
      <c r="H22" t="s">
        <v>19</v>
      </c>
      <c r="I22" t="s">
        <v>41</v>
      </c>
      <c r="J22" t="str">
        <f t="shared" si="0"/>
        <v>2023</v>
      </c>
      <c r="K22" t="str">
        <f t="shared" si="1"/>
        <v>Jul</v>
      </c>
      <c r="L22" s="2">
        <f t="shared" si="2"/>
        <v>0.27951018428709989</v>
      </c>
      <c r="M22" t="str">
        <f>IF(Table1[[#This Row],[Profit Margin]]&gt;0,"Profit")</f>
        <v>Profit</v>
      </c>
    </row>
    <row r="23" spans="1:13" x14ac:dyDescent="0.3">
      <c r="A23">
        <v>22</v>
      </c>
      <c r="B23" t="s">
        <v>13</v>
      </c>
      <c r="C23" t="s">
        <v>15</v>
      </c>
      <c r="D23">
        <v>1</v>
      </c>
      <c r="E23">
        <v>1572</v>
      </c>
      <c r="F23">
        <v>1572</v>
      </c>
      <c r="G23">
        <v>213.41</v>
      </c>
      <c r="H23" t="s">
        <v>19</v>
      </c>
      <c r="I23" t="s">
        <v>42</v>
      </c>
      <c r="J23" t="str">
        <f t="shared" si="0"/>
        <v>2023</v>
      </c>
      <c r="K23" t="str">
        <f t="shared" si="1"/>
        <v>Mar</v>
      </c>
      <c r="L23" s="2">
        <f t="shared" si="2"/>
        <v>0.13575699745547073</v>
      </c>
      <c r="M23" t="str">
        <f>IF(Table1[[#This Row],[Profit Margin]]&gt;0,"Profit")</f>
        <v>Profit</v>
      </c>
    </row>
    <row r="24" spans="1:13" x14ac:dyDescent="0.3">
      <c r="A24">
        <v>23</v>
      </c>
      <c r="B24" t="s">
        <v>12</v>
      </c>
      <c r="C24" t="s">
        <v>17</v>
      </c>
      <c r="D24">
        <v>4</v>
      </c>
      <c r="E24">
        <v>859</v>
      </c>
      <c r="F24">
        <v>3436</v>
      </c>
      <c r="G24">
        <v>810.36</v>
      </c>
      <c r="H24" t="s">
        <v>18</v>
      </c>
      <c r="I24" t="s">
        <v>43</v>
      </c>
      <c r="J24" t="str">
        <f t="shared" si="0"/>
        <v>2023</v>
      </c>
      <c r="K24" t="str">
        <f t="shared" si="1"/>
        <v>Jun</v>
      </c>
      <c r="L24" s="2">
        <f t="shared" si="2"/>
        <v>0.23584400465657743</v>
      </c>
      <c r="M24" t="str">
        <f>IF(Table1[[#This Row],[Profit Margin]]&gt;0,"Profit")</f>
        <v>Profit</v>
      </c>
    </row>
    <row r="25" spans="1:13" x14ac:dyDescent="0.3">
      <c r="A25">
        <v>24</v>
      </c>
      <c r="B25" t="s">
        <v>11</v>
      </c>
      <c r="C25" t="s">
        <v>15</v>
      </c>
      <c r="D25">
        <v>3</v>
      </c>
      <c r="E25">
        <v>107</v>
      </c>
      <c r="F25">
        <v>321</v>
      </c>
      <c r="G25">
        <v>18.96</v>
      </c>
      <c r="H25" t="s">
        <v>18</v>
      </c>
      <c r="I25" t="s">
        <v>44</v>
      </c>
      <c r="J25" t="str">
        <f t="shared" si="0"/>
        <v>2023</v>
      </c>
      <c r="K25" t="str">
        <f t="shared" si="1"/>
        <v>May</v>
      </c>
      <c r="L25" s="2">
        <f t="shared" si="2"/>
        <v>5.9065420560747664E-2</v>
      </c>
      <c r="M25" t="str">
        <f>IF(Table1[[#This Row],[Profit Margin]]&gt;0,"Profit")</f>
        <v>Profit</v>
      </c>
    </row>
    <row r="26" spans="1:13" x14ac:dyDescent="0.3">
      <c r="A26">
        <v>25</v>
      </c>
      <c r="B26" t="s">
        <v>9</v>
      </c>
      <c r="C26" t="s">
        <v>16</v>
      </c>
      <c r="D26">
        <v>10</v>
      </c>
      <c r="E26">
        <v>485</v>
      </c>
      <c r="F26">
        <v>4850</v>
      </c>
      <c r="G26">
        <v>1326.58</v>
      </c>
      <c r="H26" t="s">
        <v>19</v>
      </c>
      <c r="I26" t="s">
        <v>45</v>
      </c>
      <c r="J26" t="str">
        <f t="shared" si="0"/>
        <v>2023</v>
      </c>
      <c r="K26" t="str">
        <f t="shared" si="1"/>
        <v>Oct</v>
      </c>
      <c r="L26" s="2">
        <f t="shared" si="2"/>
        <v>0.27352164948453606</v>
      </c>
      <c r="M26" t="str">
        <f>IF(Table1[[#This Row],[Profit Margin]]&gt;0,"Profit")</f>
        <v>Profit</v>
      </c>
    </row>
    <row r="27" spans="1:13" x14ac:dyDescent="0.3">
      <c r="A27">
        <v>26</v>
      </c>
      <c r="B27" t="s">
        <v>9</v>
      </c>
      <c r="C27" t="s">
        <v>17</v>
      </c>
      <c r="D27">
        <v>8</v>
      </c>
      <c r="E27">
        <v>1262</v>
      </c>
      <c r="F27">
        <v>10096</v>
      </c>
      <c r="G27">
        <v>1328.94</v>
      </c>
      <c r="H27" t="s">
        <v>19</v>
      </c>
      <c r="I27" t="s">
        <v>46</v>
      </c>
      <c r="J27" t="str">
        <f t="shared" si="0"/>
        <v>2023</v>
      </c>
      <c r="K27" t="str">
        <f t="shared" si="1"/>
        <v>Nov</v>
      </c>
      <c r="L27" s="2">
        <f t="shared" si="2"/>
        <v>0.13163034865293186</v>
      </c>
      <c r="M27" t="str">
        <f>IF(Table1[[#This Row],[Profit Margin]]&gt;0,"Profit")</f>
        <v>Profit</v>
      </c>
    </row>
    <row r="28" spans="1:13" x14ac:dyDescent="0.3">
      <c r="A28">
        <v>27</v>
      </c>
      <c r="B28" t="s">
        <v>12</v>
      </c>
      <c r="C28" t="s">
        <v>14</v>
      </c>
      <c r="D28">
        <v>6</v>
      </c>
      <c r="E28">
        <v>907</v>
      </c>
      <c r="F28">
        <v>5442</v>
      </c>
      <c r="G28">
        <v>1407.1</v>
      </c>
      <c r="H28" t="s">
        <v>19</v>
      </c>
      <c r="I28" t="s">
        <v>47</v>
      </c>
      <c r="J28" t="str">
        <f t="shared" si="0"/>
        <v>2023</v>
      </c>
      <c r="K28" t="str">
        <f t="shared" si="1"/>
        <v>Nov</v>
      </c>
      <c r="L28" s="2">
        <f t="shared" si="2"/>
        <v>0.25856302829841971</v>
      </c>
      <c r="M28" t="str">
        <f>IF(Table1[[#This Row],[Profit Margin]]&gt;0,"Profit")</f>
        <v>Profit</v>
      </c>
    </row>
    <row r="29" spans="1:13" x14ac:dyDescent="0.3">
      <c r="A29">
        <v>28</v>
      </c>
      <c r="B29" t="s">
        <v>11</v>
      </c>
      <c r="C29" t="s">
        <v>15</v>
      </c>
      <c r="D29">
        <v>6</v>
      </c>
      <c r="E29">
        <v>188</v>
      </c>
      <c r="F29">
        <v>1128</v>
      </c>
      <c r="G29">
        <v>252.16</v>
      </c>
      <c r="H29" t="s">
        <v>20</v>
      </c>
      <c r="I29" t="s">
        <v>48</v>
      </c>
      <c r="J29" t="str">
        <f t="shared" si="0"/>
        <v>2023</v>
      </c>
      <c r="K29" t="str">
        <f t="shared" si="1"/>
        <v>May</v>
      </c>
      <c r="L29" s="2">
        <f t="shared" si="2"/>
        <v>0.22354609929078015</v>
      </c>
      <c r="M29" t="str">
        <f>IF(Table1[[#This Row],[Profit Margin]]&gt;0,"Profit")</f>
        <v>Profit</v>
      </c>
    </row>
    <row r="30" spans="1:13" x14ac:dyDescent="0.3">
      <c r="A30">
        <v>29</v>
      </c>
      <c r="B30" t="s">
        <v>10</v>
      </c>
      <c r="C30" t="s">
        <v>17</v>
      </c>
      <c r="D30">
        <v>1</v>
      </c>
      <c r="E30">
        <v>1146</v>
      </c>
      <c r="F30">
        <v>1146</v>
      </c>
      <c r="G30">
        <v>290.2</v>
      </c>
      <c r="H30" t="s">
        <v>18</v>
      </c>
      <c r="I30" t="s">
        <v>49</v>
      </c>
      <c r="J30" t="str">
        <f t="shared" si="0"/>
        <v>2023</v>
      </c>
      <c r="K30" t="str">
        <f t="shared" si="1"/>
        <v>Aug</v>
      </c>
      <c r="L30" s="2">
        <f t="shared" si="2"/>
        <v>0.25322862129144852</v>
      </c>
      <c r="M30" t="str">
        <f>IF(Table1[[#This Row],[Profit Margin]]&gt;0,"Profit")</f>
        <v>Profit</v>
      </c>
    </row>
    <row r="31" spans="1:13" x14ac:dyDescent="0.3">
      <c r="A31">
        <v>30</v>
      </c>
      <c r="B31" t="s">
        <v>10</v>
      </c>
      <c r="C31" t="s">
        <v>15</v>
      </c>
      <c r="D31">
        <v>3</v>
      </c>
      <c r="E31">
        <v>403</v>
      </c>
      <c r="F31">
        <v>1209</v>
      </c>
      <c r="G31">
        <v>229.32</v>
      </c>
      <c r="H31" t="s">
        <v>18</v>
      </c>
      <c r="I31" t="s">
        <v>50</v>
      </c>
      <c r="J31" t="str">
        <f t="shared" si="0"/>
        <v>2023</v>
      </c>
      <c r="K31" t="str">
        <f t="shared" si="1"/>
        <v>Apr</v>
      </c>
      <c r="L31" s="2">
        <f t="shared" si="2"/>
        <v>0.1896774193548387</v>
      </c>
      <c r="M31" t="str">
        <f>IF(Table1[[#This Row],[Profit Margin]]&gt;0,"Profit")</f>
        <v>Profit</v>
      </c>
    </row>
    <row r="32" spans="1:13" x14ac:dyDescent="0.3">
      <c r="A32">
        <v>31</v>
      </c>
      <c r="B32" t="s">
        <v>12</v>
      </c>
      <c r="C32" t="s">
        <v>17</v>
      </c>
      <c r="D32">
        <v>5</v>
      </c>
      <c r="E32">
        <v>1881</v>
      </c>
      <c r="F32">
        <v>9405</v>
      </c>
      <c r="G32">
        <v>1250.24</v>
      </c>
      <c r="H32" t="s">
        <v>18</v>
      </c>
      <c r="I32" t="s">
        <v>25</v>
      </c>
      <c r="J32" t="str">
        <f t="shared" si="0"/>
        <v>2023</v>
      </c>
      <c r="K32" t="str">
        <f t="shared" si="1"/>
        <v>May</v>
      </c>
      <c r="L32" s="2">
        <f t="shared" si="2"/>
        <v>0.13293354598617757</v>
      </c>
      <c r="M32" t="str">
        <f>IF(Table1[[#This Row],[Profit Margin]]&gt;0,"Profit")</f>
        <v>Profit</v>
      </c>
    </row>
    <row r="33" spans="1:13" x14ac:dyDescent="0.3">
      <c r="A33">
        <v>32</v>
      </c>
      <c r="B33" t="s">
        <v>10</v>
      </c>
      <c r="C33" t="s">
        <v>17</v>
      </c>
      <c r="D33">
        <v>10</v>
      </c>
      <c r="E33">
        <v>1087</v>
      </c>
      <c r="F33">
        <v>10870</v>
      </c>
      <c r="G33">
        <v>2177.64</v>
      </c>
      <c r="H33" t="s">
        <v>19</v>
      </c>
      <c r="I33" t="s">
        <v>51</v>
      </c>
      <c r="J33" t="str">
        <f t="shared" si="0"/>
        <v>2023</v>
      </c>
      <c r="K33" t="str">
        <f t="shared" si="1"/>
        <v>Jan</v>
      </c>
      <c r="L33" s="2">
        <f t="shared" si="2"/>
        <v>0.20033486660533578</v>
      </c>
      <c r="M33" t="str">
        <f>IF(Table1[[#This Row],[Profit Margin]]&gt;0,"Profit")</f>
        <v>Profit</v>
      </c>
    </row>
    <row r="34" spans="1:13" x14ac:dyDescent="0.3">
      <c r="A34">
        <v>33</v>
      </c>
      <c r="B34" t="s">
        <v>13</v>
      </c>
      <c r="C34" t="s">
        <v>15</v>
      </c>
      <c r="D34">
        <v>3</v>
      </c>
      <c r="E34">
        <v>1426</v>
      </c>
      <c r="F34">
        <v>4278</v>
      </c>
      <c r="G34">
        <v>441.2</v>
      </c>
      <c r="H34" t="s">
        <v>19</v>
      </c>
      <c r="I34" t="s">
        <v>52</v>
      </c>
      <c r="J34" t="str">
        <f t="shared" ref="J34:J65" si="3">TEXT(I:I,"yyyy")</f>
        <v>2023</v>
      </c>
      <c r="K34" t="str">
        <f t="shared" ref="K34:K65" si="4">TEXT(I34,"mmm")</f>
        <v>Jul</v>
      </c>
      <c r="L34" s="2">
        <f t="shared" ref="L34:L65" si="5">G34/F34</f>
        <v>0.10313230481533427</v>
      </c>
      <c r="M34" t="str">
        <f>IF(Table1[[#This Row],[Profit Margin]]&gt;0,"Profit")</f>
        <v>Profit</v>
      </c>
    </row>
    <row r="35" spans="1:13" x14ac:dyDescent="0.3">
      <c r="A35">
        <v>34</v>
      </c>
      <c r="B35" t="s">
        <v>11</v>
      </c>
      <c r="C35" t="s">
        <v>16</v>
      </c>
      <c r="D35">
        <v>8</v>
      </c>
      <c r="E35">
        <v>730</v>
      </c>
      <c r="F35">
        <v>5840</v>
      </c>
      <c r="G35">
        <v>1659.8</v>
      </c>
      <c r="H35" t="s">
        <v>19</v>
      </c>
      <c r="I35" t="s">
        <v>53</v>
      </c>
      <c r="J35" t="str">
        <f t="shared" si="3"/>
        <v>2023</v>
      </c>
      <c r="K35" t="str">
        <f t="shared" si="4"/>
        <v>Jan</v>
      </c>
      <c r="L35" s="2">
        <f t="shared" si="5"/>
        <v>0.28421232876712327</v>
      </c>
      <c r="M35" t="str">
        <f>IF(Table1[[#This Row],[Profit Margin]]&gt;0,"Profit")</f>
        <v>Profit</v>
      </c>
    </row>
    <row r="36" spans="1:13" x14ac:dyDescent="0.3">
      <c r="A36">
        <v>35</v>
      </c>
      <c r="B36" t="s">
        <v>13</v>
      </c>
      <c r="C36" t="s">
        <v>14</v>
      </c>
      <c r="D36">
        <v>3</v>
      </c>
      <c r="E36">
        <v>783</v>
      </c>
      <c r="F36">
        <v>2349</v>
      </c>
      <c r="G36">
        <v>483.69</v>
      </c>
      <c r="H36" t="s">
        <v>20</v>
      </c>
      <c r="I36" t="s">
        <v>44</v>
      </c>
      <c r="J36" t="str">
        <f t="shared" si="3"/>
        <v>2023</v>
      </c>
      <c r="K36" t="str">
        <f t="shared" si="4"/>
        <v>May</v>
      </c>
      <c r="L36" s="2">
        <f t="shared" si="5"/>
        <v>0.20591315453384418</v>
      </c>
      <c r="M36" t="str">
        <f>IF(Table1[[#This Row],[Profit Margin]]&gt;0,"Profit")</f>
        <v>Profit</v>
      </c>
    </row>
    <row r="37" spans="1:13" x14ac:dyDescent="0.3">
      <c r="A37">
        <v>36</v>
      </c>
      <c r="B37" t="s">
        <v>11</v>
      </c>
      <c r="C37" t="s">
        <v>15</v>
      </c>
      <c r="D37">
        <v>9</v>
      </c>
      <c r="E37">
        <v>883</v>
      </c>
      <c r="F37">
        <v>7947</v>
      </c>
      <c r="G37">
        <v>1028.19</v>
      </c>
      <c r="H37" t="s">
        <v>18</v>
      </c>
      <c r="I37" t="s">
        <v>54</v>
      </c>
      <c r="J37" t="str">
        <f t="shared" si="3"/>
        <v>2023</v>
      </c>
      <c r="K37" t="str">
        <f t="shared" si="4"/>
        <v>Sep</v>
      </c>
      <c r="L37" s="2">
        <f t="shared" si="5"/>
        <v>0.12938089845224612</v>
      </c>
      <c r="M37" t="str">
        <f>IF(Table1[[#This Row],[Profit Margin]]&gt;0,"Profit")</f>
        <v>Profit</v>
      </c>
    </row>
    <row r="38" spans="1:13" x14ac:dyDescent="0.3">
      <c r="A38">
        <v>37</v>
      </c>
      <c r="B38" t="s">
        <v>13</v>
      </c>
      <c r="C38" t="s">
        <v>14</v>
      </c>
      <c r="D38">
        <v>3</v>
      </c>
      <c r="E38">
        <v>640</v>
      </c>
      <c r="F38">
        <v>1920</v>
      </c>
      <c r="G38">
        <v>222.8</v>
      </c>
      <c r="H38" t="s">
        <v>18</v>
      </c>
      <c r="I38" t="s">
        <v>55</v>
      </c>
      <c r="J38" t="str">
        <f t="shared" si="3"/>
        <v>2023</v>
      </c>
      <c r="K38" t="str">
        <f t="shared" si="4"/>
        <v>Jun</v>
      </c>
      <c r="L38" s="2">
        <f t="shared" si="5"/>
        <v>0.11604166666666667</v>
      </c>
      <c r="M38" t="str">
        <f>IF(Table1[[#This Row],[Profit Margin]]&gt;0,"Profit")</f>
        <v>Profit</v>
      </c>
    </row>
    <row r="39" spans="1:13" x14ac:dyDescent="0.3">
      <c r="A39">
        <v>38</v>
      </c>
      <c r="B39" t="s">
        <v>12</v>
      </c>
      <c r="C39" t="s">
        <v>16</v>
      </c>
      <c r="D39">
        <v>10</v>
      </c>
      <c r="E39">
        <v>466</v>
      </c>
      <c r="F39">
        <v>4660</v>
      </c>
      <c r="G39">
        <v>1012.06</v>
      </c>
      <c r="H39" t="s">
        <v>20</v>
      </c>
      <c r="I39" t="s">
        <v>56</v>
      </c>
      <c r="J39" t="str">
        <f t="shared" si="3"/>
        <v>2023</v>
      </c>
      <c r="K39" t="str">
        <f t="shared" si="4"/>
        <v>Jun</v>
      </c>
      <c r="L39" s="2">
        <f t="shared" si="5"/>
        <v>0.21718025751072961</v>
      </c>
      <c r="M39" t="str">
        <f>IF(Table1[[#This Row],[Profit Margin]]&gt;0,"Profit")</f>
        <v>Profit</v>
      </c>
    </row>
    <row r="40" spans="1:13" x14ac:dyDescent="0.3">
      <c r="A40">
        <v>39</v>
      </c>
      <c r="B40" t="s">
        <v>10</v>
      </c>
      <c r="C40" t="s">
        <v>16</v>
      </c>
      <c r="D40">
        <v>2</v>
      </c>
      <c r="E40">
        <v>261</v>
      </c>
      <c r="F40">
        <v>522</v>
      </c>
      <c r="G40">
        <v>96.53</v>
      </c>
      <c r="H40" t="s">
        <v>20</v>
      </c>
      <c r="I40" t="s">
        <v>57</v>
      </c>
      <c r="J40" t="str">
        <f t="shared" si="3"/>
        <v>2023</v>
      </c>
      <c r="K40" t="str">
        <f t="shared" si="4"/>
        <v>Aug</v>
      </c>
      <c r="L40" s="2">
        <f t="shared" si="5"/>
        <v>0.18492337164750958</v>
      </c>
      <c r="M40" t="str">
        <f>IF(Table1[[#This Row],[Profit Margin]]&gt;0,"Profit")</f>
        <v>Profit</v>
      </c>
    </row>
    <row r="41" spans="1:13" x14ac:dyDescent="0.3">
      <c r="A41">
        <v>40</v>
      </c>
      <c r="B41" t="s">
        <v>13</v>
      </c>
      <c r="C41" t="s">
        <v>17</v>
      </c>
      <c r="D41">
        <v>9</v>
      </c>
      <c r="E41">
        <v>1956</v>
      </c>
      <c r="F41">
        <v>17604</v>
      </c>
      <c r="G41">
        <v>4456.53</v>
      </c>
      <c r="H41" t="s">
        <v>18</v>
      </c>
      <c r="I41" t="s">
        <v>52</v>
      </c>
      <c r="J41" t="str">
        <f t="shared" si="3"/>
        <v>2023</v>
      </c>
      <c r="K41" t="str">
        <f t="shared" si="4"/>
        <v>Jul</v>
      </c>
      <c r="L41" s="2">
        <f t="shared" si="5"/>
        <v>0.25315439672801637</v>
      </c>
      <c r="M41" t="str">
        <f>IF(Table1[[#This Row],[Profit Margin]]&gt;0,"Profit")</f>
        <v>Profit</v>
      </c>
    </row>
    <row r="42" spans="1:13" x14ac:dyDescent="0.3">
      <c r="A42">
        <v>41</v>
      </c>
      <c r="B42" t="s">
        <v>11</v>
      </c>
      <c r="C42" t="s">
        <v>17</v>
      </c>
      <c r="D42">
        <v>1</v>
      </c>
      <c r="E42">
        <v>1580</v>
      </c>
      <c r="F42">
        <v>1580</v>
      </c>
      <c r="G42">
        <v>427.52</v>
      </c>
      <c r="H42" t="s">
        <v>19</v>
      </c>
      <c r="I42" t="s">
        <v>31</v>
      </c>
      <c r="J42" t="str">
        <f t="shared" si="3"/>
        <v>2023</v>
      </c>
      <c r="K42" t="str">
        <f t="shared" si="4"/>
        <v>Feb</v>
      </c>
      <c r="L42" s="2">
        <f t="shared" si="5"/>
        <v>0.27058227848101263</v>
      </c>
      <c r="M42" t="str">
        <f>IF(Table1[[#This Row],[Profit Margin]]&gt;0,"Profit")</f>
        <v>Profit</v>
      </c>
    </row>
    <row r="43" spans="1:13" x14ac:dyDescent="0.3">
      <c r="A43">
        <v>42</v>
      </c>
      <c r="B43" t="s">
        <v>11</v>
      </c>
      <c r="C43" t="s">
        <v>17</v>
      </c>
      <c r="D43">
        <v>3</v>
      </c>
      <c r="E43">
        <v>809</v>
      </c>
      <c r="F43">
        <v>2427</v>
      </c>
      <c r="G43">
        <v>587.78</v>
      </c>
      <c r="H43" t="s">
        <v>18</v>
      </c>
      <c r="I43" t="s">
        <v>58</v>
      </c>
      <c r="J43" t="str">
        <f t="shared" si="3"/>
        <v>2023</v>
      </c>
      <c r="K43" t="str">
        <f t="shared" si="4"/>
        <v>Nov</v>
      </c>
      <c r="L43" s="2">
        <f t="shared" si="5"/>
        <v>0.24218376596621341</v>
      </c>
      <c r="M43" t="str">
        <f>IF(Table1[[#This Row],[Profit Margin]]&gt;0,"Profit")</f>
        <v>Profit</v>
      </c>
    </row>
    <row r="44" spans="1:13" x14ac:dyDescent="0.3">
      <c r="A44">
        <v>43</v>
      </c>
      <c r="B44" t="s">
        <v>11</v>
      </c>
      <c r="C44" t="s">
        <v>14</v>
      </c>
      <c r="D44">
        <v>10</v>
      </c>
      <c r="E44">
        <v>154</v>
      </c>
      <c r="F44">
        <v>1540</v>
      </c>
      <c r="G44">
        <v>106.94</v>
      </c>
      <c r="H44" t="s">
        <v>18</v>
      </c>
      <c r="I44" t="s">
        <v>59</v>
      </c>
      <c r="J44" t="str">
        <f t="shared" si="3"/>
        <v>2023</v>
      </c>
      <c r="K44" t="str">
        <f t="shared" si="4"/>
        <v>Dec</v>
      </c>
      <c r="L44" s="2">
        <f t="shared" si="5"/>
        <v>6.9441558441558443E-2</v>
      </c>
      <c r="M44" t="str">
        <f>IF(Table1[[#This Row],[Profit Margin]]&gt;0,"Profit")</f>
        <v>Profit</v>
      </c>
    </row>
    <row r="45" spans="1:13" x14ac:dyDescent="0.3">
      <c r="A45">
        <v>44</v>
      </c>
      <c r="B45" t="s">
        <v>10</v>
      </c>
      <c r="C45" t="s">
        <v>15</v>
      </c>
      <c r="D45">
        <v>7</v>
      </c>
      <c r="E45">
        <v>1644</v>
      </c>
      <c r="F45">
        <v>11508</v>
      </c>
      <c r="G45">
        <v>1210.03</v>
      </c>
      <c r="H45" t="s">
        <v>19</v>
      </c>
      <c r="I45" t="s">
        <v>60</v>
      </c>
      <c r="J45" t="str">
        <f t="shared" si="3"/>
        <v>2023</v>
      </c>
      <c r="K45" t="str">
        <f t="shared" si="4"/>
        <v>Dec</v>
      </c>
      <c r="L45" s="2">
        <f t="shared" si="5"/>
        <v>0.10514685436218282</v>
      </c>
      <c r="M45" t="str">
        <f>IF(Table1[[#This Row],[Profit Margin]]&gt;0,"Profit")</f>
        <v>Profit</v>
      </c>
    </row>
    <row r="46" spans="1:13" x14ac:dyDescent="0.3">
      <c r="A46">
        <v>45</v>
      </c>
      <c r="B46" t="s">
        <v>13</v>
      </c>
      <c r="C46" t="s">
        <v>15</v>
      </c>
      <c r="D46">
        <v>2</v>
      </c>
      <c r="E46">
        <v>569</v>
      </c>
      <c r="F46">
        <v>1138</v>
      </c>
      <c r="G46">
        <v>69.48</v>
      </c>
      <c r="H46" t="s">
        <v>20</v>
      </c>
      <c r="I46" t="s">
        <v>61</v>
      </c>
      <c r="J46" t="str">
        <f t="shared" si="3"/>
        <v>2023</v>
      </c>
      <c r="K46" t="str">
        <f t="shared" si="4"/>
        <v>Jan</v>
      </c>
      <c r="L46" s="2">
        <f t="shared" si="5"/>
        <v>6.105448154657294E-2</v>
      </c>
      <c r="M46" t="str">
        <f>IF(Table1[[#This Row],[Profit Margin]]&gt;0,"Profit")</f>
        <v>Profit</v>
      </c>
    </row>
    <row r="47" spans="1:13" x14ac:dyDescent="0.3">
      <c r="A47">
        <v>46</v>
      </c>
      <c r="B47" t="s">
        <v>10</v>
      </c>
      <c r="C47" t="s">
        <v>16</v>
      </c>
      <c r="D47">
        <v>9</v>
      </c>
      <c r="E47">
        <v>1700</v>
      </c>
      <c r="F47">
        <v>15300</v>
      </c>
      <c r="G47">
        <v>2708.77</v>
      </c>
      <c r="H47" t="s">
        <v>18</v>
      </c>
      <c r="I47" t="s">
        <v>62</v>
      </c>
      <c r="J47" t="str">
        <f t="shared" si="3"/>
        <v>2023</v>
      </c>
      <c r="K47" t="str">
        <f t="shared" si="4"/>
        <v>Sep</v>
      </c>
      <c r="L47" s="2">
        <f t="shared" si="5"/>
        <v>0.1770437908496732</v>
      </c>
      <c r="M47" t="str">
        <f>IF(Table1[[#This Row],[Profit Margin]]&gt;0,"Profit")</f>
        <v>Profit</v>
      </c>
    </row>
    <row r="48" spans="1:13" x14ac:dyDescent="0.3">
      <c r="A48">
        <v>47</v>
      </c>
      <c r="B48" t="s">
        <v>12</v>
      </c>
      <c r="C48" t="s">
        <v>14</v>
      </c>
      <c r="D48">
        <v>10</v>
      </c>
      <c r="E48">
        <v>733</v>
      </c>
      <c r="F48">
        <v>7330</v>
      </c>
      <c r="G48">
        <v>1117.48</v>
      </c>
      <c r="H48" t="s">
        <v>20</v>
      </c>
      <c r="I48" t="s">
        <v>63</v>
      </c>
      <c r="J48" t="str">
        <f t="shared" si="3"/>
        <v>2023</v>
      </c>
      <c r="K48" t="str">
        <f t="shared" si="4"/>
        <v>Mar</v>
      </c>
      <c r="L48" s="2">
        <f t="shared" si="5"/>
        <v>0.15245293315143246</v>
      </c>
      <c r="M48" t="str">
        <f>IF(Table1[[#This Row],[Profit Margin]]&gt;0,"Profit")</f>
        <v>Profit</v>
      </c>
    </row>
    <row r="49" spans="1:13" x14ac:dyDescent="0.3">
      <c r="A49">
        <v>48</v>
      </c>
      <c r="B49" t="s">
        <v>9</v>
      </c>
      <c r="C49" t="s">
        <v>16</v>
      </c>
      <c r="D49">
        <v>3</v>
      </c>
      <c r="E49">
        <v>314</v>
      </c>
      <c r="F49">
        <v>942</v>
      </c>
      <c r="G49">
        <v>76.02</v>
      </c>
      <c r="H49" t="s">
        <v>19</v>
      </c>
      <c r="I49" t="s">
        <v>64</v>
      </c>
      <c r="J49" t="str">
        <f t="shared" si="3"/>
        <v>2023</v>
      </c>
      <c r="K49" t="str">
        <f t="shared" si="4"/>
        <v>Jul</v>
      </c>
      <c r="L49" s="2">
        <f t="shared" si="5"/>
        <v>8.0700636942675152E-2</v>
      </c>
      <c r="M49" t="str">
        <f>IF(Table1[[#This Row],[Profit Margin]]&gt;0,"Profit")</f>
        <v>Profit</v>
      </c>
    </row>
    <row r="50" spans="1:13" x14ac:dyDescent="0.3">
      <c r="A50">
        <v>49</v>
      </c>
      <c r="B50" t="s">
        <v>11</v>
      </c>
      <c r="C50" t="s">
        <v>15</v>
      </c>
      <c r="D50">
        <v>5</v>
      </c>
      <c r="E50">
        <v>438</v>
      </c>
      <c r="F50">
        <v>2190</v>
      </c>
      <c r="G50">
        <v>182.86</v>
      </c>
      <c r="H50" t="s">
        <v>18</v>
      </c>
      <c r="I50" t="s">
        <v>65</v>
      </c>
      <c r="J50" t="str">
        <f t="shared" si="3"/>
        <v>2023</v>
      </c>
      <c r="K50" t="str">
        <f t="shared" si="4"/>
        <v>May</v>
      </c>
      <c r="L50" s="2">
        <f t="shared" si="5"/>
        <v>8.3497716894977175E-2</v>
      </c>
      <c r="M50" t="str">
        <f>IF(Table1[[#This Row],[Profit Margin]]&gt;0,"Profit")</f>
        <v>Profit</v>
      </c>
    </row>
    <row r="51" spans="1:13" x14ac:dyDescent="0.3">
      <c r="A51">
        <v>50</v>
      </c>
      <c r="B51" t="s">
        <v>11</v>
      </c>
      <c r="C51" t="s">
        <v>15</v>
      </c>
      <c r="D51">
        <v>10</v>
      </c>
      <c r="E51">
        <v>1543</v>
      </c>
      <c r="F51">
        <v>15430</v>
      </c>
      <c r="G51">
        <v>3179.76</v>
      </c>
      <c r="H51" t="s">
        <v>18</v>
      </c>
      <c r="I51" t="s">
        <v>66</v>
      </c>
      <c r="J51" t="str">
        <f t="shared" si="3"/>
        <v>2023</v>
      </c>
      <c r="K51" t="str">
        <f t="shared" si="4"/>
        <v>Aug</v>
      </c>
      <c r="L51" s="2">
        <f t="shared" si="5"/>
        <v>0.20607647440051849</v>
      </c>
      <c r="M51" t="str">
        <f>IF(Table1[[#This Row],[Profit Margin]]&gt;0,"Profit")</f>
        <v>Profit</v>
      </c>
    </row>
    <row r="52" spans="1:13" x14ac:dyDescent="0.3">
      <c r="A52">
        <v>51</v>
      </c>
      <c r="B52" t="s">
        <v>13</v>
      </c>
      <c r="C52" t="s">
        <v>14</v>
      </c>
      <c r="D52">
        <v>8</v>
      </c>
      <c r="E52">
        <v>1487</v>
      </c>
      <c r="F52">
        <v>11896</v>
      </c>
      <c r="G52">
        <v>2758.63</v>
      </c>
      <c r="H52" t="s">
        <v>18</v>
      </c>
      <c r="I52" t="s">
        <v>67</v>
      </c>
      <c r="J52" t="str">
        <f t="shared" si="3"/>
        <v>2023</v>
      </c>
      <c r="K52" t="str">
        <f t="shared" si="4"/>
        <v>Jan</v>
      </c>
      <c r="L52" s="2">
        <f t="shared" si="5"/>
        <v>0.23189559515803632</v>
      </c>
      <c r="M52" t="str">
        <f>IF(Table1[[#This Row],[Profit Margin]]&gt;0,"Profit")</f>
        <v>Profit</v>
      </c>
    </row>
    <row r="53" spans="1:13" x14ac:dyDescent="0.3">
      <c r="A53">
        <v>52</v>
      </c>
      <c r="B53" t="s">
        <v>12</v>
      </c>
      <c r="C53" t="s">
        <v>15</v>
      </c>
      <c r="D53">
        <v>1</v>
      </c>
      <c r="E53">
        <v>851</v>
      </c>
      <c r="F53">
        <v>851</v>
      </c>
      <c r="G53">
        <v>123.53</v>
      </c>
      <c r="H53" t="s">
        <v>19</v>
      </c>
      <c r="I53" t="s">
        <v>68</v>
      </c>
      <c r="J53" t="str">
        <f t="shared" si="3"/>
        <v>2023</v>
      </c>
      <c r="K53" t="str">
        <f t="shared" si="4"/>
        <v>Dec</v>
      </c>
      <c r="L53" s="2">
        <f t="shared" si="5"/>
        <v>0.14515863689776734</v>
      </c>
      <c r="M53" t="str">
        <f>IF(Table1[[#This Row],[Profit Margin]]&gt;0,"Profit")</f>
        <v>Profit</v>
      </c>
    </row>
    <row r="54" spans="1:13" x14ac:dyDescent="0.3">
      <c r="A54">
        <v>53</v>
      </c>
      <c r="B54" t="s">
        <v>13</v>
      </c>
      <c r="C54" t="s">
        <v>16</v>
      </c>
      <c r="D54">
        <v>3</v>
      </c>
      <c r="E54">
        <v>963</v>
      </c>
      <c r="F54">
        <v>2889</v>
      </c>
      <c r="G54">
        <v>416.5</v>
      </c>
      <c r="H54" t="s">
        <v>19</v>
      </c>
      <c r="I54" t="s">
        <v>69</v>
      </c>
      <c r="J54" t="str">
        <f t="shared" si="3"/>
        <v>2023</v>
      </c>
      <c r="K54" t="str">
        <f t="shared" si="4"/>
        <v>Nov</v>
      </c>
      <c r="L54" s="2">
        <f t="shared" si="5"/>
        <v>0.14416753201799931</v>
      </c>
      <c r="M54" t="str">
        <f>IF(Table1[[#This Row],[Profit Margin]]&gt;0,"Profit")</f>
        <v>Profit</v>
      </c>
    </row>
    <row r="55" spans="1:13" x14ac:dyDescent="0.3">
      <c r="A55">
        <v>54</v>
      </c>
      <c r="B55" t="s">
        <v>9</v>
      </c>
      <c r="C55" t="s">
        <v>14</v>
      </c>
      <c r="D55">
        <v>1</v>
      </c>
      <c r="E55">
        <v>1645</v>
      </c>
      <c r="F55">
        <v>1645</v>
      </c>
      <c r="G55">
        <v>394.61</v>
      </c>
      <c r="H55" t="s">
        <v>19</v>
      </c>
      <c r="I55" t="s">
        <v>70</v>
      </c>
      <c r="J55" t="str">
        <f t="shared" si="3"/>
        <v>2023</v>
      </c>
      <c r="K55" t="str">
        <f t="shared" si="4"/>
        <v>Mar</v>
      </c>
      <c r="L55" s="2">
        <f t="shared" si="5"/>
        <v>0.23988449848024318</v>
      </c>
      <c r="M55" t="str">
        <f>IF(Table1[[#This Row],[Profit Margin]]&gt;0,"Profit")</f>
        <v>Profit</v>
      </c>
    </row>
    <row r="56" spans="1:13" x14ac:dyDescent="0.3">
      <c r="A56">
        <v>55</v>
      </c>
      <c r="B56" t="s">
        <v>11</v>
      </c>
      <c r="C56" t="s">
        <v>17</v>
      </c>
      <c r="D56">
        <v>2</v>
      </c>
      <c r="E56">
        <v>350</v>
      </c>
      <c r="F56">
        <v>700</v>
      </c>
      <c r="G56">
        <v>120.3</v>
      </c>
      <c r="H56" t="s">
        <v>18</v>
      </c>
      <c r="I56" t="s">
        <v>71</v>
      </c>
      <c r="J56" t="str">
        <f t="shared" si="3"/>
        <v>2023</v>
      </c>
      <c r="K56" t="str">
        <f t="shared" si="4"/>
        <v>Jun</v>
      </c>
      <c r="L56" s="2">
        <f t="shared" si="5"/>
        <v>0.17185714285714285</v>
      </c>
      <c r="M56" t="str">
        <f>IF(Table1[[#This Row],[Profit Margin]]&gt;0,"Profit")</f>
        <v>Profit</v>
      </c>
    </row>
    <row r="57" spans="1:13" x14ac:dyDescent="0.3">
      <c r="A57">
        <v>56</v>
      </c>
      <c r="B57" t="s">
        <v>10</v>
      </c>
      <c r="C57" t="s">
        <v>15</v>
      </c>
      <c r="D57">
        <v>8</v>
      </c>
      <c r="E57">
        <v>664</v>
      </c>
      <c r="F57">
        <v>5312</v>
      </c>
      <c r="G57">
        <v>1465.62</v>
      </c>
      <c r="H57" t="s">
        <v>19</v>
      </c>
      <c r="I57" t="s">
        <v>72</v>
      </c>
      <c r="J57" t="str">
        <f t="shared" si="3"/>
        <v>2023</v>
      </c>
      <c r="K57" t="str">
        <f t="shared" si="4"/>
        <v>Jul</v>
      </c>
      <c r="L57" s="2">
        <f t="shared" si="5"/>
        <v>0.27590737951807226</v>
      </c>
      <c r="M57" t="str">
        <f>IF(Table1[[#This Row],[Profit Margin]]&gt;0,"Profit")</f>
        <v>Profit</v>
      </c>
    </row>
    <row r="58" spans="1:13" x14ac:dyDescent="0.3">
      <c r="A58">
        <v>57</v>
      </c>
      <c r="B58" t="s">
        <v>11</v>
      </c>
      <c r="C58" t="s">
        <v>15</v>
      </c>
      <c r="D58">
        <v>1</v>
      </c>
      <c r="E58">
        <v>537</v>
      </c>
      <c r="F58">
        <v>537</v>
      </c>
      <c r="G58">
        <v>79.430000000000007</v>
      </c>
      <c r="H58" t="s">
        <v>20</v>
      </c>
      <c r="I58" t="s">
        <v>73</v>
      </c>
      <c r="J58" t="str">
        <f t="shared" si="3"/>
        <v>2023</v>
      </c>
      <c r="K58" t="str">
        <f t="shared" si="4"/>
        <v>Mar</v>
      </c>
      <c r="L58" s="2">
        <f t="shared" si="5"/>
        <v>0.14791433891992553</v>
      </c>
      <c r="M58" t="str">
        <f>IF(Table1[[#This Row],[Profit Margin]]&gt;0,"Profit")</f>
        <v>Profit</v>
      </c>
    </row>
    <row r="59" spans="1:13" x14ac:dyDescent="0.3">
      <c r="A59">
        <v>58</v>
      </c>
      <c r="B59" t="s">
        <v>9</v>
      </c>
      <c r="C59" t="s">
        <v>14</v>
      </c>
      <c r="D59">
        <v>6</v>
      </c>
      <c r="E59">
        <v>1267</v>
      </c>
      <c r="F59">
        <v>7602</v>
      </c>
      <c r="G59">
        <v>1944.16</v>
      </c>
      <c r="H59" t="s">
        <v>20</v>
      </c>
      <c r="I59" t="s">
        <v>74</v>
      </c>
      <c r="J59" t="str">
        <f t="shared" si="3"/>
        <v>2023</v>
      </c>
      <c r="K59" t="str">
        <f t="shared" si="4"/>
        <v>Aug</v>
      </c>
      <c r="L59" s="2">
        <f t="shared" si="5"/>
        <v>0.25574322546698236</v>
      </c>
      <c r="M59" t="str">
        <f>IF(Table1[[#This Row],[Profit Margin]]&gt;0,"Profit")</f>
        <v>Profit</v>
      </c>
    </row>
    <row r="60" spans="1:13" x14ac:dyDescent="0.3">
      <c r="A60">
        <v>59</v>
      </c>
      <c r="B60" t="s">
        <v>13</v>
      </c>
      <c r="C60" t="s">
        <v>16</v>
      </c>
      <c r="D60">
        <v>7</v>
      </c>
      <c r="E60">
        <v>244</v>
      </c>
      <c r="F60">
        <v>1708</v>
      </c>
      <c r="G60">
        <v>176.48</v>
      </c>
      <c r="H60" t="s">
        <v>20</v>
      </c>
      <c r="I60" t="s">
        <v>75</v>
      </c>
      <c r="J60" t="str">
        <f t="shared" si="3"/>
        <v>2023</v>
      </c>
      <c r="K60" t="str">
        <f t="shared" si="4"/>
        <v>Nov</v>
      </c>
      <c r="L60" s="2">
        <f t="shared" si="5"/>
        <v>0.1033255269320843</v>
      </c>
      <c r="M60" t="str">
        <f>IF(Table1[[#This Row],[Profit Margin]]&gt;0,"Profit")</f>
        <v>Profit</v>
      </c>
    </row>
    <row r="61" spans="1:13" x14ac:dyDescent="0.3">
      <c r="A61">
        <v>60</v>
      </c>
      <c r="B61" t="s">
        <v>12</v>
      </c>
      <c r="C61" t="s">
        <v>14</v>
      </c>
      <c r="D61">
        <v>4</v>
      </c>
      <c r="E61">
        <v>1462</v>
      </c>
      <c r="F61">
        <v>5848</v>
      </c>
      <c r="G61">
        <v>744.47</v>
      </c>
      <c r="H61" t="s">
        <v>20</v>
      </c>
      <c r="I61" t="s">
        <v>76</v>
      </c>
      <c r="J61" t="str">
        <f t="shared" si="3"/>
        <v>2023</v>
      </c>
      <c r="K61" t="str">
        <f t="shared" si="4"/>
        <v>Aug</v>
      </c>
      <c r="L61" s="2">
        <f t="shared" si="5"/>
        <v>0.12730335157318742</v>
      </c>
      <c r="M61" t="str">
        <f>IF(Table1[[#This Row],[Profit Margin]]&gt;0,"Profit")</f>
        <v>Profit</v>
      </c>
    </row>
    <row r="62" spans="1:13" x14ac:dyDescent="0.3">
      <c r="A62">
        <v>61</v>
      </c>
      <c r="B62" t="s">
        <v>10</v>
      </c>
      <c r="C62" t="s">
        <v>17</v>
      </c>
      <c r="D62">
        <v>7</v>
      </c>
      <c r="E62">
        <v>1287</v>
      </c>
      <c r="F62">
        <v>9009</v>
      </c>
      <c r="G62">
        <v>1468.16</v>
      </c>
      <c r="H62" t="s">
        <v>19</v>
      </c>
      <c r="I62" t="s">
        <v>77</v>
      </c>
      <c r="J62" t="str">
        <f t="shared" si="3"/>
        <v>2023</v>
      </c>
      <c r="K62" t="str">
        <f t="shared" si="4"/>
        <v>Apr</v>
      </c>
      <c r="L62" s="2">
        <f t="shared" si="5"/>
        <v>0.16296592296592297</v>
      </c>
      <c r="M62" t="str">
        <f>IF(Table1[[#This Row],[Profit Margin]]&gt;0,"Profit")</f>
        <v>Profit</v>
      </c>
    </row>
    <row r="63" spans="1:13" x14ac:dyDescent="0.3">
      <c r="A63">
        <v>62</v>
      </c>
      <c r="B63" t="s">
        <v>9</v>
      </c>
      <c r="C63" t="s">
        <v>17</v>
      </c>
      <c r="D63">
        <v>5</v>
      </c>
      <c r="E63">
        <v>466</v>
      </c>
      <c r="F63">
        <v>2330</v>
      </c>
      <c r="G63">
        <v>425.65</v>
      </c>
      <c r="H63" t="s">
        <v>19</v>
      </c>
      <c r="I63" t="s">
        <v>78</v>
      </c>
      <c r="J63" t="str">
        <f t="shared" si="3"/>
        <v>2023</v>
      </c>
      <c r="K63" t="str">
        <f t="shared" si="4"/>
        <v>Jul</v>
      </c>
      <c r="L63" s="2">
        <f t="shared" si="5"/>
        <v>0.18268240343347639</v>
      </c>
      <c r="M63" t="str">
        <f>IF(Table1[[#This Row],[Profit Margin]]&gt;0,"Profit")</f>
        <v>Profit</v>
      </c>
    </row>
    <row r="64" spans="1:13" x14ac:dyDescent="0.3">
      <c r="A64">
        <v>63</v>
      </c>
      <c r="B64" t="s">
        <v>11</v>
      </c>
      <c r="C64" t="s">
        <v>15</v>
      </c>
      <c r="D64">
        <v>2</v>
      </c>
      <c r="E64">
        <v>1686</v>
      </c>
      <c r="F64">
        <v>3372</v>
      </c>
      <c r="G64">
        <v>933.74</v>
      </c>
      <c r="H64" t="s">
        <v>20</v>
      </c>
      <c r="I64" t="s">
        <v>79</v>
      </c>
      <c r="J64" t="str">
        <f t="shared" si="3"/>
        <v>2023</v>
      </c>
      <c r="K64" t="str">
        <f t="shared" si="4"/>
        <v>Apr</v>
      </c>
      <c r="L64" s="2">
        <f t="shared" si="5"/>
        <v>0.27690984578884936</v>
      </c>
      <c r="M64" t="str">
        <f>IF(Table1[[#This Row],[Profit Margin]]&gt;0,"Profit")</f>
        <v>Profit</v>
      </c>
    </row>
    <row r="65" spans="1:13" x14ac:dyDescent="0.3">
      <c r="A65">
        <v>64</v>
      </c>
      <c r="B65" t="s">
        <v>12</v>
      </c>
      <c r="C65" t="s">
        <v>17</v>
      </c>
      <c r="D65">
        <v>1</v>
      </c>
      <c r="E65">
        <v>1788</v>
      </c>
      <c r="F65">
        <v>1788</v>
      </c>
      <c r="G65">
        <v>129.28</v>
      </c>
      <c r="H65" t="s">
        <v>19</v>
      </c>
      <c r="I65" t="s">
        <v>80</v>
      </c>
      <c r="J65" t="str">
        <f t="shared" si="3"/>
        <v>2024</v>
      </c>
      <c r="K65" t="str">
        <f t="shared" si="4"/>
        <v>Jan</v>
      </c>
      <c r="L65" s="2">
        <f t="shared" si="5"/>
        <v>7.2304250559284119E-2</v>
      </c>
      <c r="M65" t="str">
        <f>IF(Table1[[#This Row],[Profit Margin]]&gt;0,"Profit")</f>
        <v>Profit</v>
      </c>
    </row>
    <row r="66" spans="1:13" x14ac:dyDescent="0.3">
      <c r="A66">
        <v>65</v>
      </c>
      <c r="B66" t="s">
        <v>11</v>
      </c>
      <c r="C66" t="s">
        <v>14</v>
      </c>
      <c r="D66">
        <v>4</v>
      </c>
      <c r="E66">
        <v>1120</v>
      </c>
      <c r="F66">
        <v>4480</v>
      </c>
      <c r="G66">
        <v>732.63</v>
      </c>
      <c r="H66" t="s">
        <v>18</v>
      </c>
      <c r="I66" t="s">
        <v>81</v>
      </c>
      <c r="J66" t="str">
        <f t="shared" ref="J66:J97" si="6">TEXT(I:I,"yyyy")</f>
        <v>2023</v>
      </c>
      <c r="K66" t="str">
        <f t="shared" ref="K66:K97" si="7">TEXT(I66,"mmm")</f>
        <v>May</v>
      </c>
      <c r="L66" s="2">
        <f t="shared" ref="L66:L97" si="8">G66/F66</f>
        <v>0.16353348214285715</v>
      </c>
      <c r="M66" t="str">
        <f>IF(Table1[[#This Row],[Profit Margin]]&gt;0,"Profit")</f>
        <v>Profit</v>
      </c>
    </row>
    <row r="67" spans="1:13" x14ac:dyDescent="0.3">
      <c r="A67">
        <v>66</v>
      </c>
      <c r="B67" t="s">
        <v>12</v>
      </c>
      <c r="C67" t="s">
        <v>17</v>
      </c>
      <c r="D67">
        <v>4</v>
      </c>
      <c r="E67">
        <v>1456</v>
      </c>
      <c r="F67">
        <v>5824</v>
      </c>
      <c r="G67">
        <v>908.05</v>
      </c>
      <c r="H67" t="s">
        <v>18</v>
      </c>
      <c r="I67" t="s">
        <v>82</v>
      </c>
      <c r="J67" t="str">
        <f t="shared" si="6"/>
        <v>2023</v>
      </c>
      <c r="K67" t="str">
        <f t="shared" si="7"/>
        <v>Oct</v>
      </c>
      <c r="L67" s="2">
        <f t="shared" si="8"/>
        <v>0.15591517857142856</v>
      </c>
      <c r="M67" t="str">
        <f>IF(Table1[[#This Row],[Profit Margin]]&gt;0,"Profit")</f>
        <v>Profit</v>
      </c>
    </row>
    <row r="68" spans="1:13" x14ac:dyDescent="0.3">
      <c r="A68">
        <v>67</v>
      </c>
      <c r="B68" t="s">
        <v>9</v>
      </c>
      <c r="C68" t="s">
        <v>15</v>
      </c>
      <c r="D68">
        <v>2</v>
      </c>
      <c r="E68">
        <v>942</v>
      </c>
      <c r="F68">
        <v>1884</v>
      </c>
      <c r="G68">
        <v>215.87</v>
      </c>
      <c r="H68" t="s">
        <v>18</v>
      </c>
      <c r="I68" t="s">
        <v>83</v>
      </c>
      <c r="J68" t="str">
        <f t="shared" si="6"/>
        <v>2023</v>
      </c>
      <c r="K68" t="str">
        <f t="shared" si="7"/>
        <v>May</v>
      </c>
      <c r="L68" s="2">
        <f t="shared" si="8"/>
        <v>0.11458067940552018</v>
      </c>
      <c r="M68" t="str">
        <f>IF(Table1[[#This Row],[Profit Margin]]&gt;0,"Profit")</f>
        <v>Profit</v>
      </c>
    </row>
    <row r="69" spans="1:13" x14ac:dyDescent="0.3">
      <c r="A69">
        <v>68</v>
      </c>
      <c r="B69" t="s">
        <v>12</v>
      </c>
      <c r="C69" t="s">
        <v>17</v>
      </c>
      <c r="D69">
        <v>7</v>
      </c>
      <c r="E69">
        <v>1855</v>
      </c>
      <c r="F69">
        <v>12985</v>
      </c>
      <c r="G69">
        <v>3872.5</v>
      </c>
      <c r="H69" t="s">
        <v>19</v>
      </c>
      <c r="I69" t="s">
        <v>84</v>
      </c>
      <c r="J69" t="str">
        <f t="shared" si="6"/>
        <v>2023</v>
      </c>
      <c r="K69" t="str">
        <f t="shared" si="7"/>
        <v>Apr</v>
      </c>
      <c r="L69" s="2">
        <f t="shared" si="8"/>
        <v>0.29822872545244511</v>
      </c>
      <c r="M69" t="str">
        <f>IF(Table1[[#This Row],[Profit Margin]]&gt;0,"Profit")</f>
        <v>Profit</v>
      </c>
    </row>
    <row r="70" spans="1:13" x14ac:dyDescent="0.3">
      <c r="A70">
        <v>69</v>
      </c>
      <c r="B70" t="s">
        <v>11</v>
      </c>
      <c r="C70" t="s">
        <v>17</v>
      </c>
      <c r="D70">
        <v>5</v>
      </c>
      <c r="E70">
        <v>1007</v>
      </c>
      <c r="F70">
        <v>5035</v>
      </c>
      <c r="G70">
        <v>543.96</v>
      </c>
      <c r="H70" t="s">
        <v>20</v>
      </c>
      <c r="I70" t="s">
        <v>29</v>
      </c>
      <c r="J70" t="str">
        <f t="shared" si="6"/>
        <v>2023</v>
      </c>
      <c r="K70" t="str">
        <f t="shared" si="7"/>
        <v>Jul</v>
      </c>
      <c r="L70" s="2">
        <f t="shared" si="8"/>
        <v>0.10803574975173784</v>
      </c>
      <c r="M70" t="str">
        <f>IF(Table1[[#This Row],[Profit Margin]]&gt;0,"Profit")</f>
        <v>Profit</v>
      </c>
    </row>
    <row r="71" spans="1:13" x14ac:dyDescent="0.3">
      <c r="A71">
        <v>70</v>
      </c>
      <c r="B71" t="s">
        <v>10</v>
      </c>
      <c r="C71" t="s">
        <v>16</v>
      </c>
      <c r="D71">
        <v>8</v>
      </c>
      <c r="E71">
        <v>422</v>
      </c>
      <c r="F71">
        <v>3376</v>
      </c>
      <c r="G71">
        <v>241.86</v>
      </c>
      <c r="H71" t="s">
        <v>18</v>
      </c>
      <c r="I71" t="s">
        <v>85</v>
      </c>
      <c r="J71" t="str">
        <f t="shared" si="6"/>
        <v>2023</v>
      </c>
      <c r="K71" t="str">
        <f t="shared" si="7"/>
        <v>Dec</v>
      </c>
      <c r="L71" s="2">
        <f t="shared" si="8"/>
        <v>7.1640995260663518E-2</v>
      </c>
      <c r="M71" t="str">
        <f>IF(Table1[[#This Row],[Profit Margin]]&gt;0,"Profit")</f>
        <v>Profit</v>
      </c>
    </row>
    <row r="72" spans="1:13" x14ac:dyDescent="0.3">
      <c r="A72">
        <v>71</v>
      </c>
      <c r="B72" t="s">
        <v>11</v>
      </c>
      <c r="C72" t="s">
        <v>17</v>
      </c>
      <c r="D72">
        <v>1</v>
      </c>
      <c r="E72">
        <v>1122</v>
      </c>
      <c r="F72">
        <v>1122</v>
      </c>
      <c r="G72">
        <v>268.49</v>
      </c>
      <c r="H72" t="s">
        <v>19</v>
      </c>
      <c r="I72" t="s">
        <v>86</v>
      </c>
      <c r="J72" t="str">
        <f t="shared" si="6"/>
        <v>2023</v>
      </c>
      <c r="K72" t="str">
        <f t="shared" si="7"/>
        <v>Jan</v>
      </c>
      <c r="L72" s="2">
        <f t="shared" si="8"/>
        <v>0.23929590017825314</v>
      </c>
      <c r="M72" t="str">
        <f>IF(Table1[[#This Row],[Profit Margin]]&gt;0,"Profit")</f>
        <v>Profit</v>
      </c>
    </row>
    <row r="73" spans="1:13" x14ac:dyDescent="0.3">
      <c r="A73">
        <v>72</v>
      </c>
      <c r="B73" t="s">
        <v>11</v>
      </c>
      <c r="C73" t="s">
        <v>14</v>
      </c>
      <c r="D73">
        <v>1</v>
      </c>
      <c r="E73">
        <v>615</v>
      </c>
      <c r="F73">
        <v>615</v>
      </c>
      <c r="G73">
        <v>38.5</v>
      </c>
      <c r="H73" t="s">
        <v>19</v>
      </c>
      <c r="I73" t="s">
        <v>87</v>
      </c>
      <c r="J73" t="str">
        <f t="shared" si="6"/>
        <v>2023</v>
      </c>
      <c r="K73" t="str">
        <f t="shared" si="7"/>
        <v>Jan</v>
      </c>
      <c r="L73" s="2">
        <f t="shared" si="8"/>
        <v>6.2601626016260167E-2</v>
      </c>
      <c r="M73" t="str">
        <f>IF(Table1[[#This Row],[Profit Margin]]&gt;0,"Profit")</f>
        <v>Profit</v>
      </c>
    </row>
    <row r="74" spans="1:13" x14ac:dyDescent="0.3">
      <c r="A74">
        <v>73</v>
      </c>
      <c r="B74" t="s">
        <v>10</v>
      </c>
      <c r="C74" t="s">
        <v>15</v>
      </c>
      <c r="D74">
        <v>2</v>
      </c>
      <c r="E74">
        <v>897</v>
      </c>
      <c r="F74">
        <v>1794</v>
      </c>
      <c r="G74">
        <v>443.33</v>
      </c>
      <c r="H74" t="s">
        <v>18</v>
      </c>
      <c r="I74" t="s">
        <v>61</v>
      </c>
      <c r="J74" t="str">
        <f t="shared" si="6"/>
        <v>2023</v>
      </c>
      <c r="K74" t="str">
        <f t="shared" si="7"/>
        <v>Jan</v>
      </c>
      <c r="L74" s="2">
        <f t="shared" si="8"/>
        <v>0.24711817168338907</v>
      </c>
      <c r="M74" t="str">
        <f>IF(Table1[[#This Row],[Profit Margin]]&gt;0,"Profit")</f>
        <v>Profit</v>
      </c>
    </row>
    <row r="75" spans="1:13" x14ac:dyDescent="0.3">
      <c r="A75">
        <v>74</v>
      </c>
      <c r="B75" t="s">
        <v>9</v>
      </c>
      <c r="C75" t="s">
        <v>17</v>
      </c>
      <c r="D75">
        <v>8</v>
      </c>
      <c r="E75">
        <v>1867</v>
      </c>
      <c r="F75">
        <v>14936</v>
      </c>
      <c r="G75">
        <v>2211.38</v>
      </c>
      <c r="H75" t="s">
        <v>19</v>
      </c>
      <c r="I75" t="s">
        <v>88</v>
      </c>
      <c r="J75" t="str">
        <f t="shared" si="6"/>
        <v>2023</v>
      </c>
      <c r="K75" t="str">
        <f t="shared" si="7"/>
        <v>Dec</v>
      </c>
      <c r="L75" s="2">
        <f t="shared" si="8"/>
        <v>0.1480570433851098</v>
      </c>
      <c r="M75" t="str">
        <f>IF(Table1[[#This Row],[Profit Margin]]&gt;0,"Profit")</f>
        <v>Profit</v>
      </c>
    </row>
    <row r="76" spans="1:13" x14ac:dyDescent="0.3">
      <c r="A76">
        <v>75</v>
      </c>
      <c r="B76" t="s">
        <v>12</v>
      </c>
      <c r="C76" t="s">
        <v>17</v>
      </c>
      <c r="D76">
        <v>6</v>
      </c>
      <c r="E76">
        <v>1314</v>
      </c>
      <c r="F76">
        <v>7884</v>
      </c>
      <c r="G76">
        <v>644.16</v>
      </c>
      <c r="H76" t="s">
        <v>19</v>
      </c>
      <c r="I76" t="s">
        <v>89</v>
      </c>
      <c r="J76" t="str">
        <f t="shared" si="6"/>
        <v>2023</v>
      </c>
      <c r="K76" t="str">
        <f t="shared" si="7"/>
        <v>Feb</v>
      </c>
      <c r="L76" s="2">
        <f t="shared" si="8"/>
        <v>8.1704718417047184E-2</v>
      </c>
      <c r="M76" t="str">
        <f>IF(Table1[[#This Row],[Profit Margin]]&gt;0,"Profit")</f>
        <v>Profit</v>
      </c>
    </row>
    <row r="77" spans="1:13" x14ac:dyDescent="0.3">
      <c r="A77">
        <v>76</v>
      </c>
      <c r="B77" t="s">
        <v>11</v>
      </c>
      <c r="C77" t="s">
        <v>15</v>
      </c>
      <c r="D77">
        <v>10</v>
      </c>
      <c r="E77">
        <v>819</v>
      </c>
      <c r="F77">
        <v>8190</v>
      </c>
      <c r="G77">
        <v>2031.26</v>
      </c>
      <c r="H77" t="s">
        <v>18</v>
      </c>
      <c r="I77" t="s">
        <v>90</v>
      </c>
      <c r="J77" t="str">
        <f t="shared" si="6"/>
        <v>2023</v>
      </c>
      <c r="K77" t="str">
        <f t="shared" si="7"/>
        <v>Aug</v>
      </c>
      <c r="L77" s="2">
        <f t="shared" si="8"/>
        <v>0.24801709401709401</v>
      </c>
      <c r="M77" t="str">
        <f>IF(Table1[[#This Row],[Profit Margin]]&gt;0,"Profit")</f>
        <v>Profit</v>
      </c>
    </row>
    <row r="78" spans="1:13" x14ac:dyDescent="0.3">
      <c r="A78">
        <v>77</v>
      </c>
      <c r="B78" t="s">
        <v>11</v>
      </c>
      <c r="C78" t="s">
        <v>17</v>
      </c>
      <c r="D78">
        <v>8</v>
      </c>
      <c r="E78">
        <v>1494</v>
      </c>
      <c r="F78">
        <v>11952</v>
      </c>
      <c r="G78">
        <v>3506.23</v>
      </c>
      <c r="H78" t="s">
        <v>19</v>
      </c>
      <c r="I78" t="s">
        <v>91</v>
      </c>
      <c r="J78" t="str">
        <f t="shared" si="6"/>
        <v>2023</v>
      </c>
      <c r="K78" t="str">
        <f t="shared" si="7"/>
        <v>Oct</v>
      </c>
      <c r="L78" s="2">
        <f t="shared" si="8"/>
        <v>0.29335927041499332</v>
      </c>
      <c r="M78" t="str">
        <f>IF(Table1[[#This Row],[Profit Margin]]&gt;0,"Profit")</f>
        <v>Profit</v>
      </c>
    </row>
    <row r="79" spans="1:13" x14ac:dyDescent="0.3">
      <c r="A79">
        <v>78</v>
      </c>
      <c r="B79" t="s">
        <v>11</v>
      </c>
      <c r="C79" t="s">
        <v>15</v>
      </c>
      <c r="D79">
        <v>10</v>
      </c>
      <c r="E79">
        <v>1946</v>
      </c>
      <c r="F79">
        <v>19460</v>
      </c>
      <c r="G79">
        <v>4003.2</v>
      </c>
      <c r="H79" t="s">
        <v>18</v>
      </c>
      <c r="I79" t="s">
        <v>92</v>
      </c>
      <c r="J79" t="str">
        <f t="shared" si="6"/>
        <v>2023</v>
      </c>
      <c r="K79" t="str">
        <f t="shared" si="7"/>
        <v>Dec</v>
      </c>
      <c r="L79" s="2">
        <f t="shared" si="8"/>
        <v>0.20571428571428571</v>
      </c>
      <c r="M79" t="str">
        <f>IF(Table1[[#This Row],[Profit Margin]]&gt;0,"Profit")</f>
        <v>Profit</v>
      </c>
    </row>
    <row r="80" spans="1:13" x14ac:dyDescent="0.3">
      <c r="A80">
        <v>79</v>
      </c>
      <c r="B80" t="s">
        <v>9</v>
      </c>
      <c r="C80" t="s">
        <v>15</v>
      </c>
      <c r="D80">
        <v>6</v>
      </c>
      <c r="E80">
        <v>820</v>
      </c>
      <c r="F80">
        <v>4920</v>
      </c>
      <c r="G80">
        <v>1284.5899999999999</v>
      </c>
      <c r="H80" t="s">
        <v>18</v>
      </c>
      <c r="I80" t="s">
        <v>76</v>
      </c>
      <c r="J80" t="str">
        <f t="shared" si="6"/>
        <v>2023</v>
      </c>
      <c r="K80" t="str">
        <f t="shared" si="7"/>
        <v>Aug</v>
      </c>
      <c r="L80" s="2">
        <f t="shared" si="8"/>
        <v>0.26109552845528455</v>
      </c>
      <c r="M80" t="str">
        <f>IF(Table1[[#This Row],[Profit Margin]]&gt;0,"Profit")</f>
        <v>Profit</v>
      </c>
    </row>
    <row r="81" spans="1:13" x14ac:dyDescent="0.3">
      <c r="A81">
        <v>80</v>
      </c>
      <c r="B81" t="s">
        <v>11</v>
      </c>
      <c r="C81" t="s">
        <v>17</v>
      </c>
      <c r="D81">
        <v>7</v>
      </c>
      <c r="E81">
        <v>691</v>
      </c>
      <c r="F81">
        <v>4837</v>
      </c>
      <c r="G81">
        <v>970.62</v>
      </c>
      <c r="H81" t="s">
        <v>19</v>
      </c>
      <c r="I81" t="s">
        <v>93</v>
      </c>
      <c r="J81" t="str">
        <f t="shared" si="6"/>
        <v>2023</v>
      </c>
      <c r="K81" t="str">
        <f t="shared" si="7"/>
        <v>Jun</v>
      </c>
      <c r="L81" s="2">
        <f t="shared" si="8"/>
        <v>0.2006657018813314</v>
      </c>
      <c r="M81" t="str">
        <f>IF(Table1[[#This Row],[Profit Margin]]&gt;0,"Profit")</f>
        <v>Profit</v>
      </c>
    </row>
    <row r="82" spans="1:13" x14ac:dyDescent="0.3">
      <c r="A82">
        <v>81</v>
      </c>
      <c r="B82" t="s">
        <v>10</v>
      </c>
      <c r="C82" t="s">
        <v>15</v>
      </c>
      <c r="D82">
        <v>5</v>
      </c>
      <c r="E82">
        <v>1466</v>
      </c>
      <c r="F82">
        <v>7330</v>
      </c>
      <c r="G82">
        <v>2069.44</v>
      </c>
      <c r="H82" t="s">
        <v>18</v>
      </c>
      <c r="I82" t="s">
        <v>94</v>
      </c>
      <c r="J82" t="str">
        <f t="shared" si="6"/>
        <v>2023</v>
      </c>
      <c r="K82" t="str">
        <f t="shared" si="7"/>
        <v>Jan</v>
      </c>
      <c r="L82" s="2">
        <f t="shared" si="8"/>
        <v>0.28232469304229196</v>
      </c>
      <c r="M82" t="str">
        <f>IF(Table1[[#This Row],[Profit Margin]]&gt;0,"Profit")</f>
        <v>Profit</v>
      </c>
    </row>
    <row r="83" spans="1:13" x14ac:dyDescent="0.3">
      <c r="A83">
        <v>82</v>
      </c>
      <c r="B83" t="s">
        <v>12</v>
      </c>
      <c r="C83" t="s">
        <v>16</v>
      </c>
      <c r="D83">
        <v>1</v>
      </c>
      <c r="E83">
        <v>1375</v>
      </c>
      <c r="F83">
        <v>1375</v>
      </c>
      <c r="G83">
        <v>338.68</v>
      </c>
      <c r="H83" t="s">
        <v>19</v>
      </c>
      <c r="I83" t="s">
        <v>95</v>
      </c>
      <c r="J83" t="str">
        <f t="shared" si="6"/>
        <v>2023</v>
      </c>
      <c r="K83" t="str">
        <f t="shared" si="7"/>
        <v>Jun</v>
      </c>
      <c r="L83" s="2">
        <f t="shared" si="8"/>
        <v>0.24631272727272727</v>
      </c>
      <c r="M83" t="str">
        <f>IF(Table1[[#This Row],[Profit Margin]]&gt;0,"Profit")</f>
        <v>Profit</v>
      </c>
    </row>
    <row r="84" spans="1:13" x14ac:dyDescent="0.3">
      <c r="A84">
        <v>83</v>
      </c>
      <c r="B84" t="s">
        <v>11</v>
      </c>
      <c r="C84" t="s">
        <v>15</v>
      </c>
      <c r="D84">
        <v>4</v>
      </c>
      <c r="E84">
        <v>557</v>
      </c>
      <c r="F84">
        <v>2228</v>
      </c>
      <c r="G84">
        <v>665.28</v>
      </c>
      <c r="H84" t="s">
        <v>18</v>
      </c>
      <c r="I84" t="s">
        <v>96</v>
      </c>
      <c r="J84" t="str">
        <f t="shared" si="6"/>
        <v>2023</v>
      </c>
      <c r="K84" t="str">
        <f t="shared" si="7"/>
        <v>Oct</v>
      </c>
      <c r="L84" s="2">
        <f t="shared" si="8"/>
        <v>0.29859964093357272</v>
      </c>
      <c r="M84" t="str">
        <f>IF(Table1[[#This Row],[Profit Margin]]&gt;0,"Profit")</f>
        <v>Profit</v>
      </c>
    </row>
    <row r="85" spans="1:13" x14ac:dyDescent="0.3">
      <c r="A85">
        <v>84</v>
      </c>
      <c r="B85" t="s">
        <v>11</v>
      </c>
      <c r="C85" t="s">
        <v>15</v>
      </c>
      <c r="D85">
        <v>9</v>
      </c>
      <c r="E85">
        <v>1589</v>
      </c>
      <c r="F85">
        <v>14301</v>
      </c>
      <c r="G85">
        <v>3346.12</v>
      </c>
      <c r="H85" t="s">
        <v>19</v>
      </c>
      <c r="I85" t="s">
        <v>97</v>
      </c>
      <c r="J85" t="str">
        <f t="shared" si="6"/>
        <v>2023</v>
      </c>
      <c r="K85" t="str">
        <f t="shared" si="7"/>
        <v>May</v>
      </c>
      <c r="L85" s="2">
        <f t="shared" si="8"/>
        <v>0.23397804349346199</v>
      </c>
      <c r="M85" t="str">
        <f>IF(Table1[[#This Row],[Profit Margin]]&gt;0,"Profit")</f>
        <v>Profit</v>
      </c>
    </row>
    <row r="86" spans="1:13" x14ac:dyDescent="0.3">
      <c r="A86">
        <v>85</v>
      </c>
      <c r="B86" t="s">
        <v>11</v>
      </c>
      <c r="C86" t="s">
        <v>14</v>
      </c>
      <c r="D86">
        <v>7</v>
      </c>
      <c r="E86">
        <v>1711</v>
      </c>
      <c r="F86">
        <v>11977</v>
      </c>
      <c r="G86">
        <v>3512.62</v>
      </c>
      <c r="H86" t="s">
        <v>18</v>
      </c>
      <c r="I86" t="s">
        <v>98</v>
      </c>
      <c r="J86" t="str">
        <f t="shared" si="6"/>
        <v>2023</v>
      </c>
      <c r="K86" t="str">
        <f t="shared" si="7"/>
        <v>Oct</v>
      </c>
      <c r="L86" s="2">
        <f t="shared" si="8"/>
        <v>0.29328045420389076</v>
      </c>
      <c r="M86" t="str">
        <f>IF(Table1[[#This Row],[Profit Margin]]&gt;0,"Profit")</f>
        <v>Profit</v>
      </c>
    </row>
    <row r="87" spans="1:13" x14ac:dyDescent="0.3">
      <c r="A87">
        <v>86</v>
      </c>
      <c r="B87" t="s">
        <v>11</v>
      </c>
      <c r="C87" t="s">
        <v>15</v>
      </c>
      <c r="D87">
        <v>1</v>
      </c>
      <c r="E87">
        <v>1500</v>
      </c>
      <c r="F87">
        <v>1500</v>
      </c>
      <c r="G87">
        <v>297.41000000000003</v>
      </c>
      <c r="H87" t="s">
        <v>20</v>
      </c>
      <c r="I87" t="s">
        <v>99</v>
      </c>
      <c r="J87" t="str">
        <f t="shared" si="6"/>
        <v>2023</v>
      </c>
      <c r="K87" t="str">
        <f t="shared" si="7"/>
        <v>Oct</v>
      </c>
      <c r="L87" s="2">
        <f t="shared" si="8"/>
        <v>0.19827333333333336</v>
      </c>
      <c r="M87" t="str">
        <f>IF(Table1[[#This Row],[Profit Margin]]&gt;0,"Profit")</f>
        <v>Profit</v>
      </c>
    </row>
    <row r="88" spans="1:13" x14ac:dyDescent="0.3">
      <c r="A88">
        <v>87</v>
      </c>
      <c r="B88" t="s">
        <v>13</v>
      </c>
      <c r="C88" t="s">
        <v>16</v>
      </c>
      <c r="D88">
        <v>10</v>
      </c>
      <c r="E88">
        <v>1815</v>
      </c>
      <c r="F88">
        <v>18150</v>
      </c>
      <c r="G88">
        <v>4888.63</v>
      </c>
      <c r="H88" t="s">
        <v>18</v>
      </c>
      <c r="I88" t="s">
        <v>100</v>
      </c>
      <c r="J88" t="str">
        <f t="shared" si="6"/>
        <v>2023</v>
      </c>
      <c r="K88" t="str">
        <f t="shared" si="7"/>
        <v>Sep</v>
      </c>
      <c r="L88" s="2">
        <f t="shared" si="8"/>
        <v>0.26934600550964188</v>
      </c>
      <c r="M88" t="str">
        <f>IF(Table1[[#This Row],[Profit Margin]]&gt;0,"Profit")</f>
        <v>Profit</v>
      </c>
    </row>
    <row r="89" spans="1:13" x14ac:dyDescent="0.3">
      <c r="A89">
        <v>88</v>
      </c>
      <c r="B89" t="s">
        <v>10</v>
      </c>
      <c r="C89" t="s">
        <v>14</v>
      </c>
      <c r="D89">
        <v>1</v>
      </c>
      <c r="E89">
        <v>1641</v>
      </c>
      <c r="F89">
        <v>1641</v>
      </c>
      <c r="G89">
        <v>178.94</v>
      </c>
      <c r="H89" t="s">
        <v>18</v>
      </c>
      <c r="I89" t="s">
        <v>101</v>
      </c>
      <c r="J89" t="str">
        <f t="shared" si="6"/>
        <v>2023</v>
      </c>
      <c r="K89" t="str">
        <f t="shared" si="7"/>
        <v>Apr</v>
      </c>
      <c r="L89" s="2">
        <f t="shared" si="8"/>
        <v>0.10904326630103595</v>
      </c>
      <c r="M89" t="str">
        <f>IF(Table1[[#This Row],[Profit Margin]]&gt;0,"Profit")</f>
        <v>Profit</v>
      </c>
    </row>
    <row r="90" spans="1:13" x14ac:dyDescent="0.3">
      <c r="A90">
        <v>89</v>
      </c>
      <c r="B90" t="s">
        <v>10</v>
      </c>
      <c r="C90" t="s">
        <v>16</v>
      </c>
      <c r="D90">
        <v>6</v>
      </c>
      <c r="E90">
        <v>720</v>
      </c>
      <c r="F90">
        <v>4320</v>
      </c>
      <c r="G90">
        <v>870.43</v>
      </c>
      <c r="H90" t="s">
        <v>20</v>
      </c>
      <c r="I90" t="s">
        <v>102</v>
      </c>
      <c r="J90" t="str">
        <f t="shared" si="6"/>
        <v>2023</v>
      </c>
      <c r="K90" t="str">
        <f t="shared" si="7"/>
        <v>Nov</v>
      </c>
      <c r="L90" s="2">
        <f t="shared" si="8"/>
        <v>0.20148842592592592</v>
      </c>
      <c r="M90" t="str">
        <f>IF(Table1[[#This Row],[Profit Margin]]&gt;0,"Profit")</f>
        <v>Profit</v>
      </c>
    </row>
    <row r="91" spans="1:13" x14ac:dyDescent="0.3">
      <c r="A91">
        <v>90</v>
      </c>
      <c r="B91" t="s">
        <v>13</v>
      </c>
      <c r="C91" t="s">
        <v>17</v>
      </c>
      <c r="D91">
        <v>7</v>
      </c>
      <c r="E91">
        <v>1384</v>
      </c>
      <c r="F91">
        <v>9688</v>
      </c>
      <c r="G91">
        <v>1045.01</v>
      </c>
      <c r="H91" t="s">
        <v>18</v>
      </c>
      <c r="I91" t="s">
        <v>103</v>
      </c>
      <c r="J91" t="str">
        <f t="shared" si="6"/>
        <v>2023</v>
      </c>
      <c r="K91" t="str">
        <f t="shared" si="7"/>
        <v>Oct</v>
      </c>
      <c r="L91" s="2">
        <f t="shared" si="8"/>
        <v>0.10786643270024773</v>
      </c>
      <c r="M91" t="str">
        <f>IF(Table1[[#This Row],[Profit Margin]]&gt;0,"Profit")</f>
        <v>Profit</v>
      </c>
    </row>
    <row r="92" spans="1:13" x14ac:dyDescent="0.3">
      <c r="A92">
        <v>91</v>
      </c>
      <c r="B92" t="s">
        <v>11</v>
      </c>
      <c r="C92" t="s">
        <v>14</v>
      </c>
      <c r="D92">
        <v>2</v>
      </c>
      <c r="E92">
        <v>1466</v>
      </c>
      <c r="F92">
        <v>2932</v>
      </c>
      <c r="G92">
        <v>209.67</v>
      </c>
      <c r="H92" t="s">
        <v>19</v>
      </c>
      <c r="I92" t="s">
        <v>104</v>
      </c>
      <c r="J92" t="str">
        <f t="shared" si="6"/>
        <v>2023</v>
      </c>
      <c r="K92" t="str">
        <f t="shared" si="7"/>
        <v>Jul</v>
      </c>
      <c r="L92" s="2">
        <f t="shared" si="8"/>
        <v>7.1510914051841748E-2</v>
      </c>
      <c r="M92" t="str">
        <f>IF(Table1[[#This Row],[Profit Margin]]&gt;0,"Profit")</f>
        <v>Profit</v>
      </c>
    </row>
    <row r="93" spans="1:13" x14ac:dyDescent="0.3">
      <c r="A93">
        <v>92</v>
      </c>
      <c r="B93" t="s">
        <v>11</v>
      </c>
      <c r="C93" t="s">
        <v>16</v>
      </c>
      <c r="D93">
        <v>2</v>
      </c>
      <c r="E93">
        <v>155</v>
      </c>
      <c r="F93">
        <v>310</v>
      </c>
      <c r="G93">
        <v>16.41</v>
      </c>
      <c r="H93" t="s">
        <v>20</v>
      </c>
      <c r="I93" t="s">
        <v>105</v>
      </c>
      <c r="J93" t="str">
        <f t="shared" si="6"/>
        <v>2023</v>
      </c>
      <c r="K93" t="str">
        <f t="shared" si="7"/>
        <v>May</v>
      </c>
      <c r="L93" s="2">
        <f t="shared" si="8"/>
        <v>5.2935483870967741E-2</v>
      </c>
      <c r="M93" t="str">
        <f>IF(Table1[[#This Row],[Profit Margin]]&gt;0,"Profit")</f>
        <v>Profit</v>
      </c>
    </row>
    <row r="94" spans="1:13" x14ac:dyDescent="0.3">
      <c r="A94">
        <v>93</v>
      </c>
      <c r="B94" t="s">
        <v>9</v>
      </c>
      <c r="C94" t="s">
        <v>17</v>
      </c>
      <c r="D94">
        <v>7</v>
      </c>
      <c r="E94">
        <v>942</v>
      </c>
      <c r="F94">
        <v>6594</v>
      </c>
      <c r="G94">
        <v>623.28</v>
      </c>
      <c r="H94" t="s">
        <v>18</v>
      </c>
      <c r="I94" t="s">
        <v>106</v>
      </c>
      <c r="J94" t="str">
        <f t="shared" si="6"/>
        <v>2023</v>
      </c>
      <c r="K94" t="str">
        <f t="shared" si="7"/>
        <v>Sep</v>
      </c>
      <c r="L94" s="2">
        <f t="shared" si="8"/>
        <v>9.4522292993630574E-2</v>
      </c>
      <c r="M94" t="str">
        <f>IF(Table1[[#This Row],[Profit Margin]]&gt;0,"Profit")</f>
        <v>Profit</v>
      </c>
    </row>
    <row r="95" spans="1:13" x14ac:dyDescent="0.3">
      <c r="A95">
        <v>94</v>
      </c>
      <c r="B95" t="s">
        <v>12</v>
      </c>
      <c r="C95" t="s">
        <v>17</v>
      </c>
      <c r="D95">
        <v>3</v>
      </c>
      <c r="E95">
        <v>1851</v>
      </c>
      <c r="F95">
        <v>5553</v>
      </c>
      <c r="G95">
        <v>1588.89</v>
      </c>
      <c r="H95" t="s">
        <v>18</v>
      </c>
      <c r="I95" t="s">
        <v>107</v>
      </c>
      <c r="J95" t="str">
        <f t="shared" si="6"/>
        <v>2023</v>
      </c>
      <c r="K95" t="str">
        <f t="shared" si="7"/>
        <v>Apr</v>
      </c>
      <c r="L95" s="2">
        <f t="shared" si="8"/>
        <v>0.28613182063749326</v>
      </c>
      <c r="M95" t="str">
        <f>IF(Table1[[#This Row],[Profit Margin]]&gt;0,"Profit")</f>
        <v>Profit</v>
      </c>
    </row>
    <row r="96" spans="1:13" x14ac:dyDescent="0.3">
      <c r="A96">
        <v>95</v>
      </c>
      <c r="B96" t="s">
        <v>9</v>
      </c>
      <c r="C96" t="s">
        <v>17</v>
      </c>
      <c r="D96">
        <v>8</v>
      </c>
      <c r="E96">
        <v>857</v>
      </c>
      <c r="F96">
        <v>6856</v>
      </c>
      <c r="G96">
        <v>1123.26</v>
      </c>
      <c r="H96" t="s">
        <v>19</v>
      </c>
      <c r="I96" t="s">
        <v>108</v>
      </c>
      <c r="J96" t="str">
        <f t="shared" si="6"/>
        <v>2023</v>
      </c>
      <c r="K96" t="str">
        <f t="shared" si="7"/>
        <v>Feb</v>
      </c>
      <c r="L96" s="2">
        <f t="shared" si="8"/>
        <v>0.1638360560093349</v>
      </c>
      <c r="M96" t="str">
        <f>IF(Table1[[#This Row],[Profit Margin]]&gt;0,"Profit")</f>
        <v>Profit</v>
      </c>
    </row>
    <row r="97" spans="1:13" x14ac:dyDescent="0.3">
      <c r="A97">
        <v>96</v>
      </c>
      <c r="B97" t="s">
        <v>9</v>
      </c>
      <c r="C97" t="s">
        <v>17</v>
      </c>
      <c r="D97">
        <v>5</v>
      </c>
      <c r="E97">
        <v>1906</v>
      </c>
      <c r="F97">
        <v>9530</v>
      </c>
      <c r="G97">
        <v>1959.24</v>
      </c>
      <c r="H97" t="s">
        <v>18</v>
      </c>
      <c r="I97" t="s">
        <v>109</v>
      </c>
      <c r="J97" t="str">
        <f t="shared" si="6"/>
        <v>2023</v>
      </c>
      <c r="K97" t="str">
        <f t="shared" si="7"/>
        <v>Aug</v>
      </c>
      <c r="L97" s="2">
        <f t="shared" si="8"/>
        <v>0.2055865687303253</v>
      </c>
      <c r="M97" t="str">
        <f>IF(Table1[[#This Row],[Profit Margin]]&gt;0,"Profit")</f>
        <v>Profit</v>
      </c>
    </row>
    <row r="98" spans="1:13" x14ac:dyDescent="0.3">
      <c r="A98">
        <v>97</v>
      </c>
      <c r="B98" t="s">
        <v>11</v>
      </c>
      <c r="C98" t="s">
        <v>16</v>
      </c>
      <c r="D98">
        <v>9</v>
      </c>
      <c r="E98">
        <v>1467</v>
      </c>
      <c r="F98">
        <v>13203</v>
      </c>
      <c r="G98">
        <v>1726.11</v>
      </c>
      <c r="H98" t="s">
        <v>20</v>
      </c>
      <c r="I98" t="s">
        <v>110</v>
      </c>
      <c r="J98" t="str">
        <f t="shared" ref="J98:J129" si="9">TEXT(I:I,"yyyy")</f>
        <v>2023</v>
      </c>
      <c r="K98" t="str">
        <f t="shared" ref="K98:K129" si="10">TEXT(I98,"mmm")</f>
        <v>Feb</v>
      </c>
      <c r="L98" s="2">
        <f t="shared" ref="L98:L129" si="11">G98/F98</f>
        <v>0.13073619631901839</v>
      </c>
      <c r="M98" t="str">
        <f>IF(Table1[[#This Row],[Profit Margin]]&gt;0,"Profit")</f>
        <v>Profit</v>
      </c>
    </row>
    <row r="99" spans="1:13" x14ac:dyDescent="0.3">
      <c r="A99">
        <v>98</v>
      </c>
      <c r="B99" t="s">
        <v>9</v>
      </c>
      <c r="C99" t="s">
        <v>15</v>
      </c>
      <c r="D99">
        <v>1</v>
      </c>
      <c r="E99">
        <v>810</v>
      </c>
      <c r="F99">
        <v>810</v>
      </c>
      <c r="G99">
        <v>119.97</v>
      </c>
      <c r="H99" t="s">
        <v>18</v>
      </c>
      <c r="I99" t="s">
        <v>111</v>
      </c>
      <c r="J99" t="str">
        <f t="shared" si="9"/>
        <v>2023</v>
      </c>
      <c r="K99" t="str">
        <f t="shared" si="10"/>
        <v>Jul</v>
      </c>
      <c r="L99" s="2">
        <f t="shared" si="11"/>
        <v>0.14811111111111111</v>
      </c>
      <c r="M99" t="str">
        <f>IF(Table1[[#This Row],[Profit Margin]]&gt;0,"Profit")</f>
        <v>Profit</v>
      </c>
    </row>
    <row r="100" spans="1:13" x14ac:dyDescent="0.3">
      <c r="A100">
        <v>99</v>
      </c>
      <c r="B100" t="s">
        <v>10</v>
      </c>
      <c r="C100" t="s">
        <v>17</v>
      </c>
      <c r="D100">
        <v>4</v>
      </c>
      <c r="E100">
        <v>1403</v>
      </c>
      <c r="F100">
        <v>5612</v>
      </c>
      <c r="G100">
        <v>1660.37</v>
      </c>
      <c r="H100" t="s">
        <v>18</v>
      </c>
      <c r="I100" t="s">
        <v>112</v>
      </c>
      <c r="J100" t="str">
        <f t="shared" si="9"/>
        <v>2023</v>
      </c>
      <c r="K100" t="str">
        <f t="shared" si="10"/>
        <v>Jul</v>
      </c>
      <c r="L100" s="2">
        <f t="shared" si="11"/>
        <v>0.29586065573770493</v>
      </c>
      <c r="M100" t="str">
        <f>IF(Table1[[#This Row],[Profit Margin]]&gt;0,"Profit")</f>
        <v>Profit</v>
      </c>
    </row>
    <row r="101" spans="1:13" x14ac:dyDescent="0.3">
      <c r="A101">
        <v>100</v>
      </c>
      <c r="B101" t="s">
        <v>13</v>
      </c>
      <c r="C101" t="s">
        <v>16</v>
      </c>
      <c r="D101">
        <v>8</v>
      </c>
      <c r="E101">
        <v>438</v>
      </c>
      <c r="F101">
        <v>3504</v>
      </c>
      <c r="G101">
        <v>1008.66</v>
      </c>
      <c r="H101" t="s">
        <v>19</v>
      </c>
      <c r="I101" t="s">
        <v>85</v>
      </c>
      <c r="J101" t="str">
        <f t="shared" si="9"/>
        <v>2023</v>
      </c>
      <c r="K101" t="str">
        <f t="shared" si="10"/>
        <v>Dec</v>
      </c>
      <c r="L101" s="2">
        <f t="shared" si="11"/>
        <v>0.28785958904109588</v>
      </c>
      <c r="M101" t="str">
        <f>IF(Table1[[#This Row],[Profit Margin]]&gt;0,"Profit")</f>
        <v>Profit</v>
      </c>
    </row>
    <row r="102" spans="1:13" x14ac:dyDescent="0.3">
      <c r="A102">
        <v>101</v>
      </c>
      <c r="B102" t="s">
        <v>13</v>
      </c>
      <c r="C102" t="s">
        <v>15</v>
      </c>
      <c r="D102">
        <v>6</v>
      </c>
      <c r="E102">
        <v>1412</v>
      </c>
      <c r="F102">
        <v>8472</v>
      </c>
      <c r="G102">
        <v>1464.29</v>
      </c>
      <c r="H102" t="s">
        <v>19</v>
      </c>
      <c r="I102" t="s">
        <v>113</v>
      </c>
      <c r="J102" t="str">
        <f t="shared" si="9"/>
        <v>2023</v>
      </c>
      <c r="K102" t="str">
        <f t="shared" si="10"/>
        <v>Nov</v>
      </c>
      <c r="L102" s="2">
        <f t="shared" si="11"/>
        <v>0.17283876298394713</v>
      </c>
      <c r="M102" t="str">
        <f>IF(Table1[[#This Row],[Profit Margin]]&gt;0,"Profit")</f>
        <v>Profit</v>
      </c>
    </row>
    <row r="103" spans="1:13" x14ac:dyDescent="0.3">
      <c r="A103">
        <v>102</v>
      </c>
      <c r="B103" t="s">
        <v>11</v>
      </c>
      <c r="C103" t="s">
        <v>16</v>
      </c>
      <c r="D103">
        <v>2</v>
      </c>
      <c r="E103">
        <v>1291</v>
      </c>
      <c r="F103">
        <v>2582</v>
      </c>
      <c r="G103">
        <v>537.66</v>
      </c>
      <c r="H103" t="s">
        <v>19</v>
      </c>
      <c r="I103" t="s">
        <v>114</v>
      </c>
      <c r="J103" t="str">
        <f t="shared" si="9"/>
        <v>2023</v>
      </c>
      <c r="K103" t="str">
        <f t="shared" si="10"/>
        <v>Feb</v>
      </c>
      <c r="L103" s="2">
        <f t="shared" si="11"/>
        <v>0.20823392718822617</v>
      </c>
      <c r="M103" t="str">
        <f>IF(Table1[[#This Row],[Profit Margin]]&gt;0,"Profit")</f>
        <v>Profit</v>
      </c>
    </row>
    <row r="104" spans="1:13" x14ac:dyDescent="0.3">
      <c r="A104">
        <v>103</v>
      </c>
      <c r="B104" t="s">
        <v>12</v>
      </c>
      <c r="C104" t="s">
        <v>14</v>
      </c>
      <c r="D104">
        <v>5</v>
      </c>
      <c r="E104">
        <v>1786</v>
      </c>
      <c r="F104">
        <v>8930</v>
      </c>
      <c r="G104">
        <v>2555.15</v>
      </c>
      <c r="H104" t="s">
        <v>19</v>
      </c>
      <c r="I104" t="s">
        <v>115</v>
      </c>
      <c r="J104" t="str">
        <f t="shared" si="9"/>
        <v>2023</v>
      </c>
      <c r="K104" t="str">
        <f t="shared" si="10"/>
        <v>Jan</v>
      </c>
      <c r="L104" s="2">
        <f t="shared" si="11"/>
        <v>0.28613101903695409</v>
      </c>
      <c r="M104" t="str">
        <f>IF(Table1[[#This Row],[Profit Margin]]&gt;0,"Profit")</f>
        <v>Profit</v>
      </c>
    </row>
    <row r="105" spans="1:13" x14ac:dyDescent="0.3">
      <c r="A105">
        <v>104</v>
      </c>
      <c r="B105" t="s">
        <v>13</v>
      </c>
      <c r="C105" t="s">
        <v>17</v>
      </c>
      <c r="D105">
        <v>3</v>
      </c>
      <c r="E105">
        <v>230</v>
      </c>
      <c r="F105">
        <v>690</v>
      </c>
      <c r="G105">
        <v>118.1</v>
      </c>
      <c r="H105" t="s">
        <v>20</v>
      </c>
      <c r="I105" t="s">
        <v>116</v>
      </c>
      <c r="J105" t="str">
        <f t="shared" si="9"/>
        <v>2023</v>
      </c>
      <c r="K105" t="str">
        <f t="shared" si="10"/>
        <v>Dec</v>
      </c>
      <c r="L105" s="2">
        <f t="shared" si="11"/>
        <v>0.17115942028985506</v>
      </c>
      <c r="M105" t="str">
        <f>IF(Table1[[#This Row],[Profit Margin]]&gt;0,"Profit")</f>
        <v>Profit</v>
      </c>
    </row>
    <row r="106" spans="1:13" x14ac:dyDescent="0.3">
      <c r="A106">
        <v>105</v>
      </c>
      <c r="B106" t="s">
        <v>11</v>
      </c>
      <c r="C106" t="s">
        <v>15</v>
      </c>
      <c r="D106">
        <v>7</v>
      </c>
      <c r="E106">
        <v>1661</v>
      </c>
      <c r="F106">
        <v>11627</v>
      </c>
      <c r="G106">
        <v>2980.67</v>
      </c>
      <c r="H106" t="s">
        <v>20</v>
      </c>
      <c r="I106" t="s">
        <v>69</v>
      </c>
      <c r="J106" t="str">
        <f t="shared" si="9"/>
        <v>2023</v>
      </c>
      <c r="K106" t="str">
        <f t="shared" si="10"/>
        <v>Nov</v>
      </c>
      <c r="L106" s="2">
        <f t="shared" si="11"/>
        <v>0.25635761589403971</v>
      </c>
      <c r="M106" t="str">
        <f>IF(Table1[[#This Row],[Profit Margin]]&gt;0,"Profit")</f>
        <v>Profit</v>
      </c>
    </row>
    <row r="107" spans="1:13" x14ac:dyDescent="0.3">
      <c r="A107">
        <v>106</v>
      </c>
      <c r="B107" t="s">
        <v>13</v>
      </c>
      <c r="C107" t="s">
        <v>17</v>
      </c>
      <c r="D107">
        <v>8</v>
      </c>
      <c r="E107">
        <v>500</v>
      </c>
      <c r="F107">
        <v>4000</v>
      </c>
      <c r="G107">
        <v>1106.26</v>
      </c>
      <c r="H107" t="s">
        <v>18</v>
      </c>
      <c r="I107" t="s">
        <v>117</v>
      </c>
      <c r="J107" t="str">
        <f t="shared" si="9"/>
        <v>2023</v>
      </c>
      <c r="K107" t="str">
        <f t="shared" si="10"/>
        <v>May</v>
      </c>
      <c r="L107" s="2">
        <f t="shared" si="11"/>
        <v>0.27656500000000001</v>
      </c>
      <c r="M107" t="str">
        <f>IF(Table1[[#This Row],[Profit Margin]]&gt;0,"Profit")</f>
        <v>Profit</v>
      </c>
    </row>
    <row r="108" spans="1:13" x14ac:dyDescent="0.3">
      <c r="A108">
        <v>107</v>
      </c>
      <c r="B108" t="s">
        <v>11</v>
      </c>
      <c r="C108" t="s">
        <v>16</v>
      </c>
      <c r="D108">
        <v>1</v>
      </c>
      <c r="E108">
        <v>257</v>
      </c>
      <c r="F108">
        <v>257</v>
      </c>
      <c r="G108">
        <v>75.849999999999994</v>
      </c>
      <c r="H108" t="s">
        <v>18</v>
      </c>
      <c r="I108" t="s">
        <v>118</v>
      </c>
      <c r="J108" t="str">
        <f t="shared" si="9"/>
        <v>2023</v>
      </c>
      <c r="K108" t="str">
        <f t="shared" si="10"/>
        <v>Jun</v>
      </c>
      <c r="L108" s="2">
        <f t="shared" si="11"/>
        <v>0.29513618677042797</v>
      </c>
      <c r="M108" t="str">
        <f>IF(Table1[[#This Row],[Profit Margin]]&gt;0,"Profit")</f>
        <v>Profit</v>
      </c>
    </row>
    <row r="109" spans="1:13" x14ac:dyDescent="0.3">
      <c r="A109">
        <v>108</v>
      </c>
      <c r="B109" t="s">
        <v>13</v>
      </c>
      <c r="C109" t="s">
        <v>16</v>
      </c>
      <c r="D109">
        <v>9</v>
      </c>
      <c r="E109">
        <v>102</v>
      </c>
      <c r="F109">
        <v>918</v>
      </c>
      <c r="G109">
        <v>93.3</v>
      </c>
      <c r="H109" t="s">
        <v>18</v>
      </c>
      <c r="I109" t="s">
        <v>51</v>
      </c>
      <c r="J109" t="str">
        <f t="shared" si="9"/>
        <v>2023</v>
      </c>
      <c r="K109" t="str">
        <f t="shared" si="10"/>
        <v>Jan</v>
      </c>
      <c r="L109" s="2">
        <f t="shared" si="11"/>
        <v>0.10163398692810457</v>
      </c>
      <c r="M109" t="str">
        <f>IF(Table1[[#This Row],[Profit Margin]]&gt;0,"Profit")</f>
        <v>Profit</v>
      </c>
    </row>
    <row r="110" spans="1:13" x14ac:dyDescent="0.3">
      <c r="A110">
        <v>109</v>
      </c>
      <c r="B110" t="s">
        <v>12</v>
      </c>
      <c r="C110" t="s">
        <v>15</v>
      </c>
      <c r="D110">
        <v>7</v>
      </c>
      <c r="E110">
        <v>1258</v>
      </c>
      <c r="F110">
        <v>8806</v>
      </c>
      <c r="G110">
        <v>2583.02</v>
      </c>
      <c r="H110" t="s">
        <v>18</v>
      </c>
      <c r="I110" t="s">
        <v>25</v>
      </c>
      <c r="J110" t="str">
        <f t="shared" si="9"/>
        <v>2023</v>
      </c>
      <c r="K110" t="str">
        <f t="shared" si="10"/>
        <v>May</v>
      </c>
      <c r="L110" s="2">
        <f t="shared" si="11"/>
        <v>0.29332500567794684</v>
      </c>
      <c r="M110" t="str">
        <f>IF(Table1[[#This Row],[Profit Margin]]&gt;0,"Profit")</f>
        <v>Profit</v>
      </c>
    </row>
    <row r="111" spans="1:13" x14ac:dyDescent="0.3">
      <c r="A111">
        <v>110</v>
      </c>
      <c r="B111" t="s">
        <v>10</v>
      </c>
      <c r="C111" t="s">
        <v>16</v>
      </c>
      <c r="D111">
        <v>3</v>
      </c>
      <c r="E111">
        <v>837</v>
      </c>
      <c r="F111">
        <v>2511</v>
      </c>
      <c r="G111">
        <v>448.48</v>
      </c>
      <c r="H111" t="s">
        <v>20</v>
      </c>
      <c r="I111" t="s">
        <v>109</v>
      </c>
      <c r="J111" t="str">
        <f t="shared" si="9"/>
        <v>2023</v>
      </c>
      <c r="K111" t="str">
        <f t="shared" si="10"/>
        <v>Aug</v>
      </c>
      <c r="L111" s="2">
        <f t="shared" si="11"/>
        <v>0.17860613301473519</v>
      </c>
      <c r="M111" t="str">
        <f>IF(Table1[[#This Row],[Profit Margin]]&gt;0,"Profit")</f>
        <v>Profit</v>
      </c>
    </row>
    <row r="112" spans="1:13" x14ac:dyDescent="0.3">
      <c r="A112">
        <v>111</v>
      </c>
      <c r="B112" t="s">
        <v>13</v>
      </c>
      <c r="C112" t="s">
        <v>16</v>
      </c>
      <c r="D112">
        <v>3</v>
      </c>
      <c r="E112">
        <v>1948</v>
      </c>
      <c r="F112">
        <v>5844</v>
      </c>
      <c r="G112">
        <v>927.38</v>
      </c>
      <c r="H112" t="s">
        <v>19</v>
      </c>
      <c r="I112" t="s">
        <v>119</v>
      </c>
      <c r="J112" t="str">
        <f t="shared" si="9"/>
        <v>2023</v>
      </c>
      <c r="K112" t="str">
        <f t="shared" si="10"/>
        <v>May</v>
      </c>
      <c r="L112" s="2">
        <f t="shared" si="11"/>
        <v>0.1586892539356605</v>
      </c>
      <c r="M112" t="str">
        <f>IF(Table1[[#This Row],[Profit Margin]]&gt;0,"Profit")</f>
        <v>Profit</v>
      </c>
    </row>
    <row r="113" spans="1:13" x14ac:dyDescent="0.3">
      <c r="A113">
        <v>112</v>
      </c>
      <c r="B113" t="s">
        <v>10</v>
      </c>
      <c r="C113" t="s">
        <v>14</v>
      </c>
      <c r="D113">
        <v>3</v>
      </c>
      <c r="E113">
        <v>1571</v>
      </c>
      <c r="F113">
        <v>4713</v>
      </c>
      <c r="G113">
        <v>764.9</v>
      </c>
      <c r="H113" t="s">
        <v>20</v>
      </c>
      <c r="I113" t="s">
        <v>58</v>
      </c>
      <c r="J113" t="str">
        <f t="shared" si="9"/>
        <v>2023</v>
      </c>
      <c r="K113" t="str">
        <f t="shared" si="10"/>
        <v>Nov</v>
      </c>
      <c r="L113" s="2">
        <f t="shared" si="11"/>
        <v>0.16229577763632505</v>
      </c>
      <c r="M113" t="str">
        <f>IF(Table1[[#This Row],[Profit Margin]]&gt;0,"Profit")</f>
        <v>Profit</v>
      </c>
    </row>
    <row r="114" spans="1:13" x14ac:dyDescent="0.3">
      <c r="A114">
        <v>113</v>
      </c>
      <c r="B114" t="s">
        <v>12</v>
      </c>
      <c r="C114" t="s">
        <v>14</v>
      </c>
      <c r="D114">
        <v>1</v>
      </c>
      <c r="E114">
        <v>1500</v>
      </c>
      <c r="F114">
        <v>1500</v>
      </c>
      <c r="G114">
        <v>276.77999999999997</v>
      </c>
      <c r="H114" t="s">
        <v>19</v>
      </c>
      <c r="I114" t="s">
        <v>120</v>
      </c>
      <c r="J114" t="str">
        <f t="shared" si="9"/>
        <v>2023</v>
      </c>
      <c r="K114" t="str">
        <f t="shared" si="10"/>
        <v>Jun</v>
      </c>
      <c r="L114" s="2">
        <f t="shared" si="11"/>
        <v>0.18451999999999999</v>
      </c>
      <c r="M114" t="str">
        <f>IF(Table1[[#This Row],[Profit Margin]]&gt;0,"Profit")</f>
        <v>Profit</v>
      </c>
    </row>
    <row r="115" spans="1:13" x14ac:dyDescent="0.3">
      <c r="A115">
        <v>114</v>
      </c>
      <c r="B115" t="s">
        <v>9</v>
      </c>
      <c r="C115" t="s">
        <v>16</v>
      </c>
      <c r="D115">
        <v>5</v>
      </c>
      <c r="E115">
        <v>1286</v>
      </c>
      <c r="F115">
        <v>6430</v>
      </c>
      <c r="G115">
        <v>1371.88</v>
      </c>
      <c r="H115" t="s">
        <v>18</v>
      </c>
      <c r="I115" t="s">
        <v>121</v>
      </c>
      <c r="J115" t="str">
        <f t="shared" si="9"/>
        <v>2023</v>
      </c>
      <c r="K115" t="str">
        <f t="shared" si="10"/>
        <v>Jan</v>
      </c>
      <c r="L115" s="2">
        <f t="shared" si="11"/>
        <v>0.21335614307931572</v>
      </c>
      <c r="M115" t="str">
        <f>IF(Table1[[#This Row],[Profit Margin]]&gt;0,"Profit")</f>
        <v>Profit</v>
      </c>
    </row>
    <row r="116" spans="1:13" x14ac:dyDescent="0.3">
      <c r="A116">
        <v>115</v>
      </c>
      <c r="B116" t="s">
        <v>12</v>
      </c>
      <c r="C116" t="s">
        <v>16</v>
      </c>
      <c r="D116">
        <v>10</v>
      </c>
      <c r="E116">
        <v>769</v>
      </c>
      <c r="F116">
        <v>7690</v>
      </c>
      <c r="G116">
        <v>631.85</v>
      </c>
      <c r="H116" t="s">
        <v>19</v>
      </c>
      <c r="I116" t="s">
        <v>122</v>
      </c>
      <c r="J116" t="str">
        <f t="shared" si="9"/>
        <v>2023</v>
      </c>
      <c r="K116" t="str">
        <f t="shared" si="10"/>
        <v>Dec</v>
      </c>
      <c r="L116" s="2">
        <f t="shared" si="11"/>
        <v>8.2165149544863467E-2</v>
      </c>
      <c r="M116" t="str">
        <f>IF(Table1[[#This Row],[Profit Margin]]&gt;0,"Profit")</f>
        <v>Profit</v>
      </c>
    </row>
    <row r="117" spans="1:13" x14ac:dyDescent="0.3">
      <c r="A117">
        <v>116</v>
      </c>
      <c r="B117" t="s">
        <v>10</v>
      </c>
      <c r="C117" t="s">
        <v>17</v>
      </c>
      <c r="D117">
        <v>8</v>
      </c>
      <c r="E117">
        <v>1685</v>
      </c>
      <c r="F117">
        <v>13480</v>
      </c>
      <c r="G117">
        <v>2273.73</v>
      </c>
      <c r="H117" t="s">
        <v>19</v>
      </c>
      <c r="I117" t="s">
        <v>86</v>
      </c>
      <c r="J117" t="str">
        <f t="shared" si="9"/>
        <v>2023</v>
      </c>
      <c r="K117" t="str">
        <f t="shared" si="10"/>
        <v>Jan</v>
      </c>
      <c r="L117" s="2">
        <f t="shared" si="11"/>
        <v>0.16867433234421364</v>
      </c>
      <c r="M117" t="str">
        <f>IF(Table1[[#This Row],[Profit Margin]]&gt;0,"Profit")</f>
        <v>Profit</v>
      </c>
    </row>
    <row r="118" spans="1:13" x14ac:dyDescent="0.3">
      <c r="A118">
        <v>117</v>
      </c>
      <c r="B118" t="s">
        <v>9</v>
      </c>
      <c r="C118" t="s">
        <v>17</v>
      </c>
      <c r="D118">
        <v>6</v>
      </c>
      <c r="E118">
        <v>325</v>
      </c>
      <c r="F118">
        <v>1950</v>
      </c>
      <c r="G118">
        <v>261.87</v>
      </c>
      <c r="H118" t="s">
        <v>20</v>
      </c>
      <c r="I118" t="s">
        <v>122</v>
      </c>
      <c r="J118" t="str">
        <f t="shared" si="9"/>
        <v>2023</v>
      </c>
      <c r="K118" t="str">
        <f t="shared" si="10"/>
        <v>Dec</v>
      </c>
      <c r="L118" s="2">
        <f t="shared" si="11"/>
        <v>0.13429230769230768</v>
      </c>
      <c r="M118" t="str">
        <f>IF(Table1[[#This Row],[Profit Margin]]&gt;0,"Profit")</f>
        <v>Profit</v>
      </c>
    </row>
    <row r="119" spans="1:13" x14ac:dyDescent="0.3">
      <c r="A119">
        <v>118</v>
      </c>
      <c r="B119" t="s">
        <v>10</v>
      </c>
      <c r="C119" t="s">
        <v>16</v>
      </c>
      <c r="D119">
        <v>9</v>
      </c>
      <c r="E119">
        <v>1675</v>
      </c>
      <c r="F119">
        <v>15075</v>
      </c>
      <c r="G119">
        <v>1317.13</v>
      </c>
      <c r="H119" t="s">
        <v>20</v>
      </c>
      <c r="I119" t="s">
        <v>123</v>
      </c>
      <c r="J119" t="str">
        <f t="shared" si="9"/>
        <v>2023</v>
      </c>
      <c r="K119" t="str">
        <f t="shared" si="10"/>
        <v>Dec</v>
      </c>
      <c r="L119" s="2">
        <f t="shared" si="11"/>
        <v>8.7371807628524048E-2</v>
      </c>
      <c r="M119" t="str">
        <f>IF(Table1[[#This Row],[Profit Margin]]&gt;0,"Profit")</f>
        <v>Profit</v>
      </c>
    </row>
    <row r="120" spans="1:13" x14ac:dyDescent="0.3">
      <c r="A120">
        <v>119</v>
      </c>
      <c r="B120" t="s">
        <v>13</v>
      </c>
      <c r="C120" t="s">
        <v>15</v>
      </c>
      <c r="D120">
        <v>4</v>
      </c>
      <c r="E120">
        <v>1596</v>
      </c>
      <c r="F120">
        <v>6384</v>
      </c>
      <c r="G120">
        <v>1215.55</v>
      </c>
      <c r="H120" t="s">
        <v>18</v>
      </c>
      <c r="I120" t="s">
        <v>124</v>
      </c>
      <c r="J120" t="str">
        <f t="shared" si="9"/>
        <v>2023</v>
      </c>
      <c r="K120" t="str">
        <f t="shared" si="10"/>
        <v>Dec</v>
      </c>
      <c r="L120" s="2">
        <f t="shared" si="11"/>
        <v>0.19040570175438595</v>
      </c>
      <c r="M120" t="str">
        <f>IF(Table1[[#This Row],[Profit Margin]]&gt;0,"Profit")</f>
        <v>Profit</v>
      </c>
    </row>
    <row r="121" spans="1:13" x14ac:dyDescent="0.3">
      <c r="A121">
        <v>120</v>
      </c>
      <c r="B121" t="s">
        <v>13</v>
      </c>
      <c r="C121" t="s">
        <v>16</v>
      </c>
      <c r="D121">
        <v>8</v>
      </c>
      <c r="E121">
        <v>994</v>
      </c>
      <c r="F121">
        <v>7952</v>
      </c>
      <c r="G121">
        <v>1764.73</v>
      </c>
      <c r="H121" t="s">
        <v>20</v>
      </c>
      <c r="I121" t="s">
        <v>76</v>
      </c>
      <c r="J121" t="str">
        <f t="shared" si="9"/>
        <v>2023</v>
      </c>
      <c r="K121" t="str">
        <f t="shared" si="10"/>
        <v>Aug</v>
      </c>
      <c r="L121" s="2">
        <f t="shared" si="11"/>
        <v>0.22192278672032192</v>
      </c>
      <c r="M121" t="str">
        <f>IF(Table1[[#This Row],[Profit Margin]]&gt;0,"Profit")</f>
        <v>Profit</v>
      </c>
    </row>
    <row r="122" spans="1:13" x14ac:dyDescent="0.3">
      <c r="A122">
        <v>121</v>
      </c>
      <c r="B122" t="s">
        <v>10</v>
      </c>
      <c r="C122" t="s">
        <v>16</v>
      </c>
      <c r="D122">
        <v>3</v>
      </c>
      <c r="E122">
        <v>1965</v>
      </c>
      <c r="F122">
        <v>5895</v>
      </c>
      <c r="G122">
        <v>558.28</v>
      </c>
      <c r="H122" t="s">
        <v>20</v>
      </c>
      <c r="I122" t="s">
        <v>49</v>
      </c>
      <c r="J122" t="str">
        <f t="shared" si="9"/>
        <v>2023</v>
      </c>
      <c r="K122" t="str">
        <f t="shared" si="10"/>
        <v>Aug</v>
      </c>
      <c r="L122" s="2">
        <f t="shared" si="11"/>
        <v>9.4703986429177267E-2</v>
      </c>
      <c r="M122" t="str">
        <f>IF(Table1[[#This Row],[Profit Margin]]&gt;0,"Profit")</f>
        <v>Profit</v>
      </c>
    </row>
    <row r="123" spans="1:13" x14ac:dyDescent="0.3">
      <c r="A123">
        <v>122</v>
      </c>
      <c r="B123" t="s">
        <v>10</v>
      </c>
      <c r="C123" t="s">
        <v>15</v>
      </c>
      <c r="D123">
        <v>5</v>
      </c>
      <c r="E123">
        <v>1580</v>
      </c>
      <c r="F123">
        <v>7900</v>
      </c>
      <c r="G123">
        <v>1038.74</v>
      </c>
      <c r="H123" t="s">
        <v>18</v>
      </c>
      <c r="I123" t="s">
        <v>125</v>
      </c>
      <c r="J123" t="str">
        <f t="shared" si="9"/>
        <v>2023</v>
      </c>
      <c r="K123" t="str">
        <f t="shared" si="10"/>
        <v>Jan</v>
      </c>
      <c r="L123" s="2">
        <f t="shared" si="11"/>
        <v>0.13148607594936709</v>
      </c>
      <c r="M123" t="str">
        <f>IF(Table1[[#This Row],[Profit Margin]]&gt;0,"Profit")</f>
        <v>Profit</v>
      </c>
    </row>
    <row r="124" spans="1:13" x14ac:dyDescent="0.3">
      <c r="A124">
        <v>123</v>
      </c>
      <c r="B124" t="s">
        <v>13</v>
      </c>
      <c r="C124" t="s">
        <v>14</v>
      </c>
      <c r="D124">
        <v>10</v>
      </c>
      <c r="E124">
        <v>1085</v>
      </c>
      <c r="F124">
        <v>10850</v>
      </c>
      <c r="G124">
        <v>880.05</v>
      </c>
      <c r="H124" t="s">
        <v>20</v>
      </c>
      <c r="I124" t="s">
        <v>126</v>
      </c>
      <c r="J124" t="str">
        <f t="shared" si="9"/>
        <v>2023</v>
      </c>
      <c r="K124" t="str">
        <f t="shared" si="10"/>
        <v>Dec</v>
      </c>
      <c r="L124" s="2">
        <f t="shared" si="11"/>
        <v>8.1110599078341006E-2</v>
      </c>
      <c r="M124" t="str">
        <f>IF(Table1[[#This Row],[Profit Margin]]&gt;0,"Profit")</f>
        <v>Profit</v>
      </c>
    </row>
    <row r="125" spans="1:13" x14ac:dyDescent="0.3">
      <c r="A125">
        <v>124</v>
      </c>
      <c r="B125" t="s">
        <v>12</v>
      </c>
      <c r="C125" t="s">
        <v>17</v>
      </c>
      <c r="D125">
        <v>2</v>
      </c>
      <c r="E125">
        <v>1297</v>
      </c>
      <c r="F125">
        <v>2594</v>
      </c>
      <c r="G125">
        <v>452.24</v>
      </c>
      <c r="H125" t="s">
        <v>18</v>
      </c>
      <c r="I125" t="s">
        <v>127</v>
      </c>
      <c r="J125" t="str">
        <f t="shared" si="9"/>
        <v>2023</v>
      </c>
      <c r="K125" t="str">
        <f t="shared" si="10"/>
        <v>Dec</v>
      </c>
      <c r="L125" s="2">
        <f t="shared" si="11"/>
        <v>0.1743407864302236</v>
      </c>
      <c r="M125" t="str">
        <f>IF(Table1[[#This Row],[Profit Margin]]&gt;0,"Profit")</f>
        <v>Profit</v>
      </c>
    </row>
    <row r="126" spans="1:13" x14ac:dyDescent="0.3">
      <c r="A126">
        <v>125</v>
      </c>
      <c r="B126" t="s">
        <v>12</v>
      </c>
      <c r="C126" t="s">
        <v>15</v>
      </c>
      <c r="D126">
        <v>6</v>
      </c>
      <c r="E126">
        <v>520</v>
      </c>
      <c r="F126">
        <v>3120</v>
      </c>
      <c r="G126">
        <v>474.04</v>
      </c>
      <c r="H126" t="s">
        <v>20</v>
      </c>
      <c r="I126" t="s">
        <v>128</v>
      </c>
      <c r="J126" t="str">
        <f t="shared" si="9"/>
        <v>2023</v>
      </c>
      <c r="K126" t="str">
        <f t="shared" si="10"/>
        <v>Sep</v>
      </c>
      <c r="L126" s="2">
        <f t="shared" si="11"/>
        <v>0.15193589743589744</v>
      </c>
      <c r="M126" t="str">
        <f>IF(Table1[[#This Row],[Profit Margin]]&gt;0,"Profit")</f>
        <v>Profit</v>
      </c>
    </row>
    <row r="127" spans="1:13" x14ac:dyDescent="0.3">
      <c r="A127">
        <v>126</v>
      </c>
      <c r="B127" t="s">
        <v>9</v>
      </c>
      <c r="C127" t="s">
        <v>17</v>
      </c>
      <c r="D127">
        <v>9</v>
      </c>
      <c r="E127">
        <v>109</v>
      </c>
      <c r="F127">
        <v>981</v>
      </c>
      <c r="G127">
        <v>257.04000000000002</v>
      </c>
      <c r="H127" t="s">
        <v>20</v>
      </c>
      <c r="I127" t="s">
        <v>129</v>
      </c>
      <c r="J127" t="str">
        <f t="shared" si="9"/>
        <v>2023</v>
      </c>
      <c r="K127" t="str">
        <f t="shared" si="10"/>
        <v>Aug</v>
      </c>
      <c r="L127" s="2">
        <f t="shared" si="11"/>
        <v>0.26201834862385326</v>
      </c>
      <c r="M127" t="str">
        <f>IF(Table1[[#This Row],[Profit Margin]]&gt;0,"Profit")</f>
        <v>Profit</v>
      </c>
    </row>
    <row r="128" spans="1:13" x14ac:dyDescent="0.3">
      <c r="A128">
        <v>127</v>
      </c>
      <c r="B128" t="s">
        <v>11</v>
      </c>
      <c r="C128" t="s">
        <v>16</v>
      </c>
      <c r="D128">
        <v>2</v>
      </c>
      <c r="E128">
        <v>745</v>
      </c>
      <c r="F128">
        <v>1490</v>
      </c>
      <c r="G128">
        <v>300.14999999999998</v>
      </c>
      <c r="H128" t="s">
        <v>18</v>
      </c>
      <c r="I128" t="s">
        <v>130</v>
      </c>
      <c r="J128" t="str">
        <f t="shared" si="9"/>
        <v>2023</v>
      </c>
      <c r="K128" t="str">
        <f t="shared" si="10"/>
        <v>Feb</v>
      </c>
      <c r="L128" s="2">
        <f t="shared" si="11"/>
        <v>0.20144295302013421</v>
      </c>
      <c r="M128" t="str">
        <f>IF(Table1[[#This Row],[Profit Margin]]&gt;0,"Profit")</f>
        <v>Profit</v>
      </c>
    </row>
    <row r="129" spans="1:13" x14ac:dyDescent="0.3">
      <c r="A129">
        <v>128</v>
      </c>
      <c r="B129" t="s">
        <v>11</v>
      </c>
      <c r="C129" t="s">
        <v>14</v>
      </c>
      <c r="D129">
        <v>6</v>
      </c>
      <c r="E129">
        <v>1302</v>
      </c>
      <c r="F129">
        <v>7812</v>
      </c>
      <c r="G129">
        <v>2035.14</v>
      </c>
      <c r="H129" t="s">
        <v>19</v>
      </c>
      <c r="I129" t="s">
        <v>131</v>
      </c>
      <c r="J129" t="str">
        <f t="shared" si="9"/>
        <v>2023</v>
      </c>
      <c r="K129" t="str">
        <f t="shared" si="10"/>
        <v>Nov</v>
      </c>
      <c r="L129" s="2">
        <f t="shared" si="11"/>
        <v>0.2605145929339478</v>
      </c>
      <c r="M129" t="str">
        <f>IF(Table1[[#This Row],[Profit Margin]]&gt;0,"Profit")</f>
        <v>Profit</v>
      </c>
    </row>
    <row r="130" spans="1:13" x14ac:dyDescent="0.3">
      <c r="A130">
        <v>129</v>
      </c>
      <c r="B130" t="s">
        <v>12</v>
      </c>
      <c r="C130" t="s">
        <v>16</v>
      </c>
      <c r="D130">
        <v>6</v>
      </c>
      <c r="E130">
        <v>382</v>
      </c>
      <c r="F130">
        <v>2292</v>
      </c>
      <c r="G130">
        <v>617.33000000000004</v>
      </c>
      <c r="H130" t="s">
        <v>19</v>
      </c>
      <c r="I130" t="s">
        <v>112</v>
      </c>
      <c r="J130" t="str">
        <f t="shared" ref="J130:J161" si="12">TEXT(I:I,"yyyy")</f>
        <v>2023</v>
      </c>
      <c r="K130" t="str">
        <f t="shared" ref="K130:K161" si="13">TEXT(I130,"mmm")</f>
        <v>Jul</v>
      </c>
      <c r="L130" s="2">
        <f t="shared" ref="L130:L161" si="14">G130/F130</f>
        <v>0.26934118673647472</v>
      </c>
      <c r="M130" t="str">
        <f>IF(Table1[[#This Row],[Profit Margin]]&gt;0,"Profit")</f>
        <v>Profit</v>
      </c>
    </row>
    <row r="131" spans="1:13" x14ac:dyDescent="0.3">
      <c r="A131">
        <v>130</v>
      </c>
      <c r="B131" t="s">
        <v>10</v>
      </c>
      <c r="C131" t="s">
        <v>16</v>
      </c>
      <c r="D131">
        <v>7</v>
      </c>
      <c r="E131">
        <v>949</v>
      </c>
      <c r="F131">
        <v>6643</v>
      </c>
      <c r="G131">
        <v>1538.76</v>
      </c>
      <c r="H131" t="s">
        <v>19</v>
      </c>
      <c r="I131" t="s">
        <v>36</v>
      </c>
      <c r="J131" t="str">
        <f t="shared" si="12"/>
        <v>2023</v>
      </c>
      <c r="K131" t="str">
        <f t="shared" si="13"/>
        <v>Dec</v>
      </c>
      <c r="L131" s="2">
        <f t="shared" si="14"/>
        <v>0.23163630889658288</v>
      </c>
      <c r="M131" t="str">
        <f>IF(Table1[[#This Row],[Profit Margin]]&gt;0,"Profit")</f>
        <v>Profit</v>
      </c>
    </row>
    <row r="132" spans="1:13" x14ac:dyDescent="0.3">
      <c r="A132">
        <v>131</v>
      </c>
      <c r="B132" t="s">
        <v>9</v>
      </c>
      <c r="C132" t="s">
        <v>15</v>
      </c>
      <c r="D132">
        <v>2</v>
      </c>
      <c r="E132">
        <v>1125</v>
      </c>
      <c r="F132">
        <v>2250</v>
      </c>
      <c r="G132">
        <v>138.41999999999999</v>
      </c>
      <c r="H132" t="s">
        <v>18</v>
      </c>
      <c r="I132" t="s">
        <v>132</v>
      </c>
      <c r="J132" t="str">
        <f t="shared" si="12"/>
        <v>2023</v>
      </c>
      <c r="K132" t="str">
        <f t="shared" si="13"/>
        <v>Mar</v>
      </c>
      <c r="L132" s="2">
        <f t="shared" si="14"/>
        <v>6.1519999999999991E-2</v>
      </c>
      <c r="M132" t="str">
        <f>IF(Table1[[#This Row],[Profit Margin]]&gt;0,"Profit")</f>
        <v>Profit</v>
      </c>
    </row>
    <row r="133" spans="1:13" x14ac:dyDescent="0.3">
      <c r="A133">
        <v>132</v>
      </c>
      <c r="B133" t="s">
        <v>10</v>
      </c>
      <c r="C133" t="s">
        <v>16</v>
      </c>
      <c r="D133">
        <v>3</v>
      </c>
      <c r="E133">
        <v>486</v>
      </c>
      <c r="F133">
        <v>1458</v>
      </c>
      <c r="G133">
        <v>151.05000000000001</v>
      </c>
      <c r="H133" t="s">
        <v>18</v>
      </c>
      <c r="I133" t="s">
        <v>104</v>
      </c>
      <c r="J133" t="str">
        <f t="shared" si="12"/>
        <v>2023</v>
      </c>
      <c r="K133" t="str">
        <f t="shared" si="13"/>
        <v>Jul</v>
      </c>
      <c r="L133" s="2">
        <f t="shared" si="14"/>
        <v>0.10360082304526749</v>
      </c>
      <c r="M133" t="str">
        <f>IF(Table1[[#This Row],[Profit Margin]]&gt;0,"Profit")</f>
        <v>Profit</v>
      </c>
    </row>
    <row r="134" spans="1:13" x14ac:dyDescent="0.3">
      <c r="A134">
        <v>133</v>
      </c>
      <c r="B134" t="s">
        <v>10</v>
      </c>
      <c r="C134" t="s">
        <v>14</v>
      </c>
      <c r="D134">
        <v>10</v>
      </c>
      <c r="E134">
        <v>560</v>
      </c>
      <c r="F134">
        <v>5600</v>
      </c>
      <c r="G134">
        <v>1152.1099999999999</v>
      </c>
      <c r="H134" t="s">
        <v>19</v>
      </c>
      <c r="I134" t="s">
        <v>133</v>
      </c>
      <c r="J134" t="str">
        <f t="shared" si="12"/>
        <v>2023</v>
      </c>
      <c r="K134" t="str">
        <f t="shared" si="13"/>
        <v>Jul</v>
      </c>
      <c r="L134" s="2">
        <f t="shared" si="14"/>
        <v>0.20573392857142855</v>
      </c>
      <c r="M134" t="str">
        <f>IF(Table1[[#This Row],[Profit Margin]]&gt;0,"Profit")</f>
        <v>Profit</v>
      </c>
    </row>
    <row r="135" spans="1:13" x14ac:dyDescent="0.3">
      <c r="A135">
        <v>134</v>
      </c>
      <c r="B135" t="s">
        <v>12</v>
      </c>
      <c r="C135" t="s">
        <v>15</v>
      </c>
      <c r="D135">
        <v>9</v>
      </c>
      <c r="E135">
        <v>771</v>
      </c>
      <c r="F135">
        <v>6939</v>
      </c>
      <c r="G135">
        <v>1416.58</v>
      </c>
      <c r="H135" t="s">
        <v>19</v>
      </c>
      <c r="I135" t="s">
        <v>134</v>
      </c>
      <c r="J135" t="str">
        <f t="shared" si="12"/>
        <v>2023</v>
      </c>
      <c r="K135" t="str">
        <f t="shared" si="13"/>
        <v>Nov</v>
      </c>
      <c r="L135" s="2">
        <f t="shared" si="14"/>
        <v>0.20414757169620981</v>
      </c>
      <c r="M135" t="str">
        <f>IF(Table1[[#This Row],[Profit Margin]]&gt;0,"Profit")</f>
        <v>Profit</v>
      </c>
    </row>
    <row r="136" spans="1:13" x14ac:dyDescent="0.3">
      <c r="A136">
        <v>135</v>
      </c>
      <c r="B136" t="s">
        <v>12</v>
      </c>
      <c r="C136" t="s">
        <v>17</v>
      </c>
      <c r="D136">
        <v>7</v>
      </c>
      <c r="E136">
        <v>824</v>
      </c>
      <c r="F136">
        <v>5768</v>
      </c>
      <c r="G136">
        <v>656.35</v>
      </c>
      <c r="H136" t="s">
        <v>18</v>
      </c>
      <c r="I136" t="s">
        <v>61</v>
      </c>
      <c r="J136" t="str">
        <f t="shared" si="12"/>
        <v>2023</v>
      </c>
      <c r="K136" t="str">
        <f t="shared" si="13"/>
        <v>Jan</v>
      </c>
      <c r="L136" s="2">
        <f t="shared" si="14"/>
        <v>0.11379160887656034</v>
      </c>
      <c r="M136" t="str">
        <f>IF(Table1[[#This Row],[Profit Margin]]&gt;0,"Profit")</f>
        <v>Profit</v>
      </c>
    </row>
    <row r="137" spans="1:13" x14ac:dyDescent="0.3">
      <c r="A137">
        <v>136</v>
      </c>
      <c r="B137" t="s">
        <v>12</v>
      </c>
      <c r="C137" t="s">
        <v>15</v>
      </c>
      <c r="D137">
        <v>10</v>
      </c>
      <c r="E137">
        <v>965</v>
      </c>
      <c r="F137">
        <v>9650</v>
      </c>
      <c r="G137">
        <v>1522.38</v>
      </c>
      <c r="H137" t="s">
        <v>18</v>
      </c>
      <c r="I137" t="s">
        <v>135</v>
      </c>
      <c r="J137" t="str">
        <f t="shared" si="12"/>
        <v>2023</v>
      </c>
      <c r="K137" t="str">
        <f t="shared" si="13"/>
        <v>Dec</v>
      </c>
      <c r="L137" s="2">
        <f t="shared" si="14"/>
        <v>0.15775958549222799</v>
      </c>
      <c r="M137" t="str">
        <f>IF(Table1[[#This Row],[Profit Margin]]&gt;0,"Profit")</f>
        <v>Profit</v>
      </c>
    </row>
    <row r="138" spans="1:13" x14ac:dyDescent="0.3">
      <c r="A138">
        <v>137</v>
      </c>
      <c r="B138" t="s">
        <v>10</v>
      </c>
      <c r="C138" t="s">
        <v>14</v>
      </c>
      <c r="D138">
        <v>10</v>
      </c>
      <c r="E138">
        <v>1753</v>
      </c>
      <c r="F138">
        <v>17530</v>
      </c>
      <c r="G138">
        <v>2484.6799999999998</v>
      </c>
      <c r="H138" t="s">
        <v>18</v>
      </c>
      <c r="I138" t="s">
        <v>136</v>
      </c>
      <c r="J138" t="str">
        <f t="shared" si="12"/>
        <v>2023</v>
      </c>
      <c r="K138" t="str">
        <f t="shared" si="13"/>
        <v>Jun</v>
      </c>
      <c r="L138" s="2">
        <f t="shared" si="14"/>
        <v>0.14173873359954364</v>
      </c>
      <c r="M138" t="str">
        <f>IF(Table1[[#This Row],[Profit Margin]]&gt;0,"Profit")</f>
        <v>Profit</v>
      </c>
    </row>
    <row r="139" spans="1:13" x14ac:dyDescent="0.3">
      <c r="A139">
        <v>138</v>
      </c>
      <c r="B139" t="s">
        <v>9</v>
      </c>
      <c r="C139" t="s">
        <v>14</v>
      </c>
      <c r="D139">
        <v>2</v>
      </c>
      <c r="E139">
        <v>1054</v>
      </c>
      <c r="F139">
        <v>2108</v>
      </c>
      <c r="G139">
        <v>484.49</v>
      </c>
      <c r="H139" t="s">
        <v>19</v>
      </c>
      <c r="I139" t="s">
        <v>137</v>
      </c>
      <c r="J139" t="str">
        <f t="shared" si="12"/>
        <v>2023</v>
      </c>
      <c r="K139" t="str">
        <f t="shared" si="13"/>
        <v>Jun</v>
      </c>
      <c r="L139" s="2">
        <f t="shared" si="14"/>
        <v>0.22983396584440227</v>
      </c>
      <c r="M139" t="str">
        <f>IF(Table1[[#This Row],[Profit Margin]]&gt;0,"Profit")</f>
        <v>Profit</v>
      </c>
    </row>
    <row r="140" spans="1:13" x14ac:dyDescent="0.3">
      <c r="A140">
        <v>139</v>
      </c>
      <c r="B140" t="s">
        <v>10</v>
      </c>
      <c r="C140" t="s">
        <v>15</v>
      </c>
      <c r="D140">
        <v>4</v>
      </c>
      <c r="E140">
        <v>1357</v>
      </c>
      <c r="F140">
        <v>5428</v>
      </c>
      <c r="G140">
        <v>1596.1</v>
      </c>
      <c r="H140" t="s">
        <v>18</v>
      </c>
      <c r="I140" t="s">
        <v>127</v>
      </c>
      <c r="J140" t="str">
        <f t="shared" si="12"/>
        <v>2023</v>
      </c>
      <c r="K140" t="str">
        <f t="shared" si="13"/>
        <v>Dec</v>
      </c>
      <c r="L140" s="2">
        <f t="shared" si="14"/>
        <v>0.2940493736182756</v>
      </c>
      <c r="M140" t="str">
        <f>IF(Table1[[#This Row],[Profit Margin]]&gt;0,"Profit")</f>
        <v>Profit</v>
      </c>
    </row>
    <row r="141" spans="1:13" x14ac:dyDescent="0.3">
      <c r="A141">
        <v>140</v>
      </c>
      <c r="B141" t="s">
        <v>12</v>
      </c>
      <c r="C141" t="s">
        <v>14</v>
      </c>
      <c r="D141">
        <v>2</v>
      </c>
      <c r="E141">
        <v>1721</v>
      </c>
      <c r="F141">
        <v>3442</v>
      </c>
      <c r="G141">
        <v>670.89</v>
      </c>
      <c r="H141" t="s">
        <v>18</v>
      </c>
      <c r="I141" t="s">
        <v>53</v>
      </c>
      <c r="J141" t="str">
        <f t="shared" si="12"/>
        <v>2023</v>
      </c>
      <c r="K141" t="str">
        <f t="shared" si="13"/>
        <v>Jan</v>
      </c>
      <c r="L141" s="2">
        <f t="shared" si="14"/>
        <v>0.19491284137129575</v>
      </c>
      <c r="M141" t="str">
        <f>IF(Table1[[#This Row],[Profit Margin]]&gt;0,"Profit")</f>
        <v>Profit</v>
      </c>
    </row>
    <row r="142" spans="1:13" x14ac:dyDescent="0.3">
      <c r="A142">
        <v>141</v>
      </c>
      <c r="B142" t="s">
        <v>10</v>
      </c>
      <c r="C142" t="s">
        <v>17</v>
      </c>
      <c r="D142">
        <v>7</v>
      </c>
      <c r="E142">
        <v>294</v>
      </c>
      <c r="F142">
        <v>2058</v>
      </c>
      <c r="G142">
        <v>486.55</v>
      </c>
      <c r="H142" t="s">
        <v>18</v>
      </c>
      <c r="I142" t="s">
        <v>138</v>
      </c>
      <c r="J142" t="str">
        <f t="shared" si="12"/>
        <v>2023</v>
      </c>
      <c r="K142" t="str">
        <f t="shared" si="13"/>
        <v>Jul</v>
      </c>
      <c r="L142" s="2">
        <f t="shared" si="14"/>
        <v>0.23641885325558795</v>
      </c>
      <c r="M142" t="str">
        <f>IF(Table1[[#This Row],[Profit Margin]]&gt;0,"Profit")</f>
        <v>Profit</v>
      </c>
    </row>
    <row r="143" spans="1:13" x14ac:dyDescent="0.3">
      <c r="A143">
        <v>142</v>
      </c>
      <c r="B143" t="s">
        <v>10</v>
      </c>
      <c r="C143" t="s">
        <v>16</v>
      </c>
      <c r="D143">
        <v>9</v>
      </c>
      <c r="E143">
        <v>1901</v>
      </c>
      <c r="F143">
        <v>17109</v>
      </c>
      <c r="G143">
        <v>2831.45</v>
      </c>
      <c r="H143" t="s">
        <v>18</v>
      </c>
      <c r="I143" t="s">
        <v>82</v>
      </c>
      <c r="J143" t="str">
        <f t="shared" si="12"/>
        <v>2023</v>
      </c>
      <c r="K143" t="str">
        <f t="shared" si="13"/>
        <v>Oct</v>
      </c>
      <c r="L143" s="2">
        <f t="shared" si="14"/>
        <v>0.16549476883511602</v>
      </c>
      <c r="M143" t="str">
        <f>IF(Table1[[#This Row],[Profit Margin]]&gt;0,"Profit")</f>
        <v>Profit</v>
      </c>
    </row>
    <row r="144" spans="1:13" x14ac:dyDescent="0.3">
      <c r="A144">
        <v>143</v>
      </c>
      <c r="B144" t="s">
        <v>10</v>
      </c>
      <c r="C144" t="s">
        <v>17</v>
      </c>
      <c r="D144">
        <v>2</v>
      </c>
      <c r="E144">
        <v>1958</v>
      </c>
      <c r="F144">
        <v>3916</v>
      </c>
      <c r="G144">
        <v>1156.93</v>
      </c>
      <c r="H144" t="s">
        <v>18</v>
      </c>
      <c r="I144" t="s">
        <v>139</v>
      </c>
      <c r="J144" t="str">
        <f t="shared" si="12"/>
        <v>2023</v>
      </c>
      <c r="K144" t="str">
        <f t="shared" si="13"/>
        <v>Mar</v>
      </c>
      <c r="L144" s="2">
        <f t="shared" si="14"/>
        <v>0.29543667007150154</v>
      </c>
      <c r="M144" t="str">
        <f>IF(Table1[[#This Row],[Profit Margin]]&gt;0,"Profit")</f>
        <v>Profit</v>
      </c>
    </row>
    <row r="145" spans="1:13" x14ac:dyDescent="0.3">
      <c r="A145">
        <v>144</v>
      </c>
      <c r="B145" t="s">
        <v>11</v>
      </c>
      <c r="C145" t="s">
        <v>15</v>
      </c>
      <c r="D145">
        <v>7</v>
      </c>
      <c r="E145">
        <v>1120</v>
      </c>
      <c r="F145">
        <v>7840</v>
      </c>
      <c r="G145">
        <v>1368.25</v>
      </c>
      <c r="H145" t="s">
        <v>18</v>
      </c>
      <c r="I145" t="s">
        <v>74</v>
      </c>
      <c r="J145" t="str">
        <f t="shared" si="12"/>
        <v>2023</v>
      </c>
      <c r="K145" t="str">
        <f t="shared" si="13"/>
        <v>Aug</v>
      </c>
      <c r="L145" s="2">
        <f t="shared" si="14"/>
        <v>0.17452168367346937</v>
      </c>
      <c r="M145" t="str">
        <f>IF(Table1[[#This Row],[Profit Margin]]&gt;0,"Profit")</f>
        <v>Profit</v>
      </c>
    </row>
    <row r="146" spans="1:13" x14ac:dyDescent="0.3">
      <c r="A146">
        <v>145</v>
      </c>
      <c r="B146" t="s">
        <v>9</v>
      </c>
      <c r="C146" t="s">
        <v>16</v>
      </c>
      <c r="D146">
        <v>8</v>
      </c>
      <c r="E146">
        <v>1307</v>
      </c>
      <c r="F146">
        <v>10456</v>
      </c>
      <c r="G146">
        <v>1916.72</v>
      </c>
      <c r="H146" t="s">
        <v>20</v>
      </c>
      <c r="I146" t="s">
        <v>64</v>
      </c>
      <c r="J146" t="str">
        <f t="shared" si="12"/>
        <v>2023</v>
      </c>
      <c r="K146" t="str">
        <f t="shared" si="13"/>
        <v>Jul</v>
      </c>
      <c r="L146" s="2">
        <f t="shared" si="14"/>
        <v>0.18331293037490437</v>
      </c>
      <c r="M146" t="str">
        <f>IF(Table1[[#This Row],[Profit Margin]]&gt;0,"Profit")</f>
        <v>Profit</v>
      </c>
    </row>
    <row r="147" spans="1:13" x14ac:dyDescent="0.3">
      <c r="A147">
        <v>146</v>
      </c>
      <c r="B147" t="s">
        <v>13</v>
      </c>
      <c r="C147" t="s">
        <v>16</v>
      </c>
      <c r="D147">
        <v>3</v>
      </c>
      <c r="E147">
        <v>1827</v>
      </c>
      <c r="F147">
        <v>5481</v>
      </c>
      <c r="G147">
        <v>696.1</v>
      </c>
      <c r="H147" t="s">
        <v>19</v>
      </c>
      <c r="I147" t="s">
        <v>58</v>
      </c>
      <c r="J147" t="str">
        <f t="shared" si="12"/>
        <v>2023</v>
      </c>
      <c r="K147" t="str">
        <f t="shared" si="13"/>
        <v>Nov</v>
      </c>
      <c r="L147" s="2">
        <f t="shared" si="14"/>
        <v>0.12700237182995805</v>
      </c>
      <c r="M147" t="str">
        <f>IF(Table1[[#This Row],[Profit Margin]]&gt;0,"Profit")</f>
        <v>Profit</v>
      </c>
    </row>
    <row r="148" spans="1:13" x14ac:dyDescent="0.3">
      <c r="A148">
        <v>147</v>
      </c>
      <c r="B148" t="s">
        <v>13</v>
      </c>
      <c r="C148" t="s">
        <v>17</v>
      </c>
      <c r="D148">
        <v>10</v>
      </c>
      <c r="E148">
        <v>161</v>
      </c>
      <c r="F148">
        <v>1610</v>
      </c>
      <c r="G148">
        <v>351.55</v>
      </c>
      <c r="H148" t="s">
        <v>19</v>
      </c>
      <c r="I148" t="s">
        <v>140</v>
      </c>
      <c r="J148" t="str">
        <f t="shared" si="12"/>
        <v>2023</v>
      </c>
      <c r="K148" t="str">
        <f t="shared" si="13"/>
        <v>Sep</v>
      </c>
      <c r="L148" s="2">
        <f t="shared" si="14"/>
        <v>0.21835403726708075</v>
      </c>
      <c r="M148" t="str">
        <f>IF(Table1[[#This Row],[Profit Margin]]&gt;0,"Profit")</f>
        <v>Profit</v>
      </c>
    </row>
    <row r="149" spans="1:13" x14ac:dyDescent="0.3">
      <c r="A149">
        <v>148</v>
      </c>
      <c r="B149" t="s">
        <v>11</v>
      </c>
      <c r="C149" t="s">
        <v>17</v>
      </c>
      <c r="D149">
        <v>3</v>
      </c>
      <c r="E149">
        <v>813</v>
      </c>
      <c r="F149">
        <v>2439</v>
      </c>
      <c r="G149">
        <v>549.34</v>
      </c>
      <c r="H149" t="s">
        <v>18</v>
      </c>
      <c r="I149" t="s">
        <v>141</v>
      </c>
      <c r="J149" t="str">
        <f t="shared" si="12"/>
        <v>2023</v>
      </c>
      <c r="K149" t="str">
        <f t="shared" si="13"/>
        <v>Oct</v>
      </c>
      <c r="L149" s="2">
        <f t="shared" si="14"/>
        <v>0.22523165231652317</v>
      </c>
      <c r="M149" t="str">
        <f>IF(Table1[[#This Row],[Profit Margin]]&gt;0,"Profit")</f>
        <v>Profit</v>
      </c>
    </row>
    <row r="150" spans="1:13" x14ac:dyDescent="0.3">
      <c r="A150">
        <v>149</v>
      </c>
      <c r="B150" t="s">
        <v>10</v>
      </c>
      <c r="C150" t="s">
        <v>15</v>
      </c>
      <c r="D150">
        <v>8</v>
      </c>
      <c r="E150">
        <v>857</v>
      </c>
      <c r="F150">
        <v>6856</v>
      </c>
      <c r="G150">
        <v>1320.72</v>
      </c>
      <c r="H150" t="s">
        <v>19</v>
      </c>
      <c r="I150" t="s">
        <v>142</v>
      </c>
      <c r="J150" t="str">
        <f t="shared" si="12"/>
        <v>2023</v>
      </c>
      <c r="K150" t="str">
        <f t="shared" si="13"/>
        <v>Aug</v>
      </c>
      <c r="L150" s="2">
        <f t="shared" si="14"/>
        <v>0.19263710618436405</v>
      </c>
      <c r="M150" t="str">
        <f>IF(Table1[[#This Row],[Profit Margin]]&gt;0,"Profit")</f>
        <v>Profit</v>
      </c>
    </row>
    <row r="151" spans="1:13" x14ac:dyDescent="0.3">
      <c r="A151">
        <v>150</v>
      </c>
      <c r="B151" t="s">
        <v>9</v>
      </c>
      <c r="C151" t="s">
        <v>15</v>
      </c>
      <c r="D151">
        <v>8</v>
      </c>
      <c r="E151">
        <v>1205</v>
      </c>
      <c r="F151">
        <v>9640</v>
      </c>
      <c r="G151">
        <v>2621.93</v>
      </c>
      <c r="H151" t="s">
        <v>18</v>
      </c>
      <c r="I151" t="s">
        <v>143</v>
      </c>
      <c r="J151" t="str">
        <f t="shared" si="12"/>
        <v>2023</v>
      </c>
      <c r="K151" t="str">
        <f t="shared" si="13"/>
        <v>Aug</v>
      </c>
      <c r="L151" s="2">
        <f t="shared" si="14"/>
        <v>0.27198443983402487</v>
      </c>
      <c r="M151" t="str">
        <f>IF(Table1[[#This Row],[Profit Margin]]&gt;0,"Profit")</f>
        <v>Profit</v>
      </c>
    </row>
    <row r="152" spans="1:13" x14ac:dyDescent="0.3">
      <c r="A152">
        <v>151</v>
      </c>
      <c r="B152" t="s">
        <v>10</v>
      </c>
      <c r="C152" t="s">
        <v>14</v>
      </c>
      <c r="D152">
        <v>4</v>
      </c>
      <c r="E152">
        <v>1233</v>
      </c>
      <c r="F152">
        <v>4932</v>
      </c>
      <c r="G152">
        <v>770.01</v>
      </c>
      <c r="H152" t="s">
        <v>19</v>
      </c>
      <c r="I152" t="s">
        <v>144</v>
      </c>
      <c r="J152" t="str">
        <f t="shared" si="12"/>
        <v>2023</v>
      </c>
      <c r="K152" t="str">
        <f t="shared" si="13"/>
        <v>Aug</v>
      </c>
      <c r="L152" s="2">
        <f t="shared" si="14"/>
        <v>0.15612530413625303</v>
      </c>
      <c r="M152" t="str">
        <f>IF(Table1[[#This Row],[Profit Margin]]&gt;0,"Profit")</f>
        <v>Profit</v>
      </c>
    </row>
    <row r="153" spans="1:13" x14ac:dyDescent="0.3">
      <c r="A153">
        <v>152</v>
      </c>
      <c r="B153" t="s">
        <v>9</v>
      </c>
      <c r="C153" t="s">
        <v>14</v>
      </c>
      <c r="D153">
        <v>7</v>
      </c>
      <c r="E153">
        <v>616</v>
      </c>
      <c r="F153">
        <v>4312</v>
      </c>
      <c r="G153">
        <v>787.92</v>
      </c>
      <c r="H153" t="s">
        <v>19</v>
      </c>
      <c r="I153" t="s">
        <v>145</v>
      </c>
      <c r="J153" t="str">
        <f t="shared" si="12"/>
        <v>2023</v>
      </c>
      <c r="K153" t="str">
        <f t="shared" si="13"/>
        <v>Sep</v>
      </c>
      <c r="L153" s="2">
        <f t="shared" si="14"/>
        <v>0.18272727272727271</v>
      </c>
      <c r="M153" t="str">
        <f>IF(Table1[[#This Row],[Profit Margin]]&gt;0,"Profit")</f>
        <v>Profit</v>
      </c>
    </row>
    <row r="154" spans="1:13" x14ac:dyDescent="0.3">
      <c r="A154">
        <v>153</v>
      </c>
      <c r="B154" t="s">
        <v>12</v>
      </c>
      <c r="C154" t="s">
        <v>15</v>
      </c>
      <c r="D154">
        <v>8</v>
      </c>
      <c r="E154">
        <v>1486</v>
      </c>
      <c r="F154">
        <v>11888</v>
      </c>
      <c r="G154">
        <v>1023.29</v>
      </c>
      <c r="H154" t="s">
        <v>18</v>
      </c>
      <c r="I154" t="s">
        <v>146</v>
      </c>
      <c r="J154" t="str">
        <f t="shared" si="12"/>
        <v>2023</v>
      </c>
      <c r="K154" t="str">
        <f t="shared" si="13"/>
        <v>Jun</v>
      </c>
      <c r="L154" s="2">
        <f t="shared" si="14"/>
        <v>8.6077557200538349E-2</v>
      </c>
      <c r="M154" t="str">
        <f>IF(Table1[[#This Row],[Profit Margin]]&gt;0,"Profit")</f>
        <v>Profit</v>
      </c>
    </row>
    <row r="155" spans="1:13" x14ac:dyDescent="0.3">
      <c r="A155">
        <v>154</v>
      </c>
      <c r="B155" t="s">
        <v>9</v>
      </c>
      <c r="C155" t="s">
        <v>17</v>
      </c>
      <c r="D155">
        <v>6</v>
      </c>
      <c r="E155">
        <v>1650</v>
      </c>
      <c r="F155">
        <v>9900</v>
      </c>
      <c r="G155">
        <v>641.57000000000005</v>
      </c>
      <c r="H155" t="s">
        <v>20</v>
      </c>
      <c r="I155" t="s">
        <v>65</v>
      </c>
      <c r="J155" t="str">
        <f t="shared" si="12"/>
        <v>2023</v>
      </c>
      <c r="K155" t="str">
        <f t="shared" si="13"/>
        <v>May</v>
      </c>
      <c r="L155" s="2">
        <f t="shared" si="14"/>
        <v>6.4805050505050504E-2</v>
      </c>
      <c r="M155" t="str">
        <f>IF(Table1[[#This Row],[Profit Margin]]&gt;0,"Profit")</f>
        <v>Profit</v>
      </c>
    </row>
    <row r="156" spans="1:13" x14ac:dyDescent="0.3">
      <c r="A156">
        <v>155</v>
      </c>
      <c r="B156" t="s">
        <v>12</v>
      </c>
      <c r="C156" t="s">
        <v>14</v>
      </c>
      <c r="D156">
        <v>4</v>
      </c>
      <c r="E156">
        <v>658</v>
      </c>
      <c r="F156">
        <v>2632</v>
      </c>
      <c r="G156">
        <v>491.93</v>
      </c>
      <c r="H156" t="s">
        <v>18</v>
      </c>
      <c r="I156" t="s">
        <v>147</v>
      </c>
      <c r="J156" t="str">
        <f t="shared" si="12"/>
        <v>2023</v>
      </c>
      <c r="K156" t="str">
        <f t="shared" si="13"/>
        <v>Jun</v>
      </c>
      <c r="L156" s="2">
        <f t="shared" si="14"/>
        <v>0.18690349544072948</v>
      </c>
      <c r="M156" t="str">
        <f>IF(Table1[[#This Row],[Profit Margin]]&gt;0,"Profit")</f>
        <v>Profit</v>
      </c>
    </row>
    <row r="157" spans="1:13" x14ac:dyDescent="0.3">
      <c r="A157">
        <v>156</v>
      </c>
      <c r="B157" t="s">
        <v>13</v>
      </c>
      <c r="C157" t="s">
        <v>17</v>
      </c>
      <c r="D157">
        <v>6</v>
      </c>
      <c r="E157">
        <v>743</v>
      </c>
      <c r="F157">
        <v>4458</v>
      </c>
      <c r="G157">
        <v>696.68</v>
      </c>
      <c r="H157" t="s">
        <v>20</v>
      </c>
      <c r="I157" t="s">
        <v>76</v>
      </c>
      <c r="J157" t="str">
        <f t="shared" si="12"/>
        <v>2023</v>
      </c>
      <c r="K157" t="str">
        <f t="shared" si="13"/>
        <v>Aug</v>
      </c>
      <c r="L157" s="2">
        <f t="shared" si="14"/>
        <v>0.156276357110812</v>
      </c>
      <c r="M157" t="str">
        <f>IF(Table1[[#This Row],[Profit Margin]]&gt;0,"Profit")</f>
        <v>Profit</v>
      </c>
    </row>
    <row r="158" spans="1:13" x14ac:dyDescent="0.3">
      <c r="A158">
        <v>157</v>
      </c>
      <c r="B158" t="s">
        <v>12</v>
      </c>
      <c r="C158" t="s">
        <v>17</v>
      </c>
      <c r="D158">
        <v>9</v>
      </c>
      <c r="E158">
        <v>1601</v>
      </c>
      <c r="F158">
        <v>14409</v>
      </c>
      <c r="G158">
        <v>3735.53</v>
      </c>
      <c r="H158" t="s">
        <v>20</v>
      </c>
      <c r="I158" t="s">
        <v>148</v>
      </c>
      <c r="J158" t="str">
        <f t="shared" si="12"/>
        <v>2023</v>
      </c>
      <c r="K158" t="str">
        <f t="shared" si="13"/>
        <v>Oct</v>
      </c>
      <c r="L158" s="2">
        <f t="shared" si="14"/>
        <v>0.25924977444652647</v>
      </c>
      <c r="M158" t="str">
        <f>IF(Table1[[#This Row],[Profit Margin]]&gt;0,"Profit")</f>
        <v>Profit</v>
      </c>
    </row>
    <row r="159" spans="1:13" x14ac:dyDescent="0.3">
      <c r="A159">
        <v>158</v>
      </c>
      <c r="B159" t="s">
        <v>11</v>
      </c>
      <c r="C159" t="s">
        <v>16</v>
      </c>
      <c r="D159">
        <v>10</v>
      </c>
      <c r="E159">
        <v>1157</v>
      </c>
      <c r="F159">
        <v>11570</v>
      </c>
      <c r="G159">
        <v>1376.03</v>
      </c>
      <c r="H159" t="s">
        <v>20</v>
      </c>
      <c r="I159" t="s">
        <v>149</v>
      </c>
      <c r="J159" t="str">
        <f t="shared" si="12"/>
        <v>2023</v>
      </c>
      <c r="K159" t="str">
        <f t="shared" si="13"/>
        <v>Apr</v>
      </c>
      <c r="L159" s="2">
        <f t="shared" si="14"/>
        <v>0.11893085566119274</v>
      </c>
      <c r="M159" t="str">
        <f>IF(Table1[[#This Row],[Profit Margin]]&gt;0,"Profit")</f>
        <v>Profit</v>
      </c>
    </row>
    <row r="160" spans="1:13" x14ac:dyDescent="0.3">
      <c r="A160">
        <v>159</v>
      </c>
      <c r="B160" t="s">
        <v>9</v>
      </c>
      <c r="C160" t="s">
        <v>17</v>
      </c>
      <c r="D160">
        <v>5</v>
      </c>
      <c r="E160">
        <v>1123</v>
      </c>
      <c r="F160">
        <v>5615</v>
      </c>
      <c r="G160">
        <v>658.99</v>
      </c>
      <c r="H160" t="s">
        <v>18</v>
      </c>
      <c r="I160" t="s">
        <v>150</v>
      </c>
      <c r="J160" t="str">
        <f t="shared" si="12"/>
        <v>2023</v>
      </c>
      <c r="K160" t="str">
        <f t="shared" si="13"/>
        <v>Aug</v>
      </c>
      <c r="L160" s="2">
        <f t="shared" si="14"/>
        <v>0.11736242208370437</v>
      </c>
      <c r="M160" t="str">
        <f>IF(Table1[[#This Row],[Profit Margin]]&gt;0,"Profit")</f>
        <v>Profit</v>
      </c>
    </row>
    <row r="161" spans="1:13" x14ac:dyDescent="0.3">
      <c r="A161">
        <v>160</v>
      </c>
      <c r="B161" t="s">
        <v>11</v>
      </c>
      <c r="C161" t="s">
        <v>17</v>
      </c>
      <c r="D161">
        <v>6</v>
      </c>
      <c r="E161">
        <v>914</v>
      </c>
      <c r="F161">
        <v>5484</v>
      </c>
      <c r="G161">
        <v>350.54</v>
      </c>
      <c r="H161" t="s">
        <v>19</v>
      </c>
      <c r="I161" t="s">
        <v>92</v>
      </c>
      <c r="J161" t="str">
        <f t="shared" si="12"/>
        <v>2023</v>
      </c>
      <c r="K161" t="str">
        <f t="shared" si="13"/>
        <v>Dec</v>
      </c>
      <c r="L161" s="2">
        <f t="shared" si="14"/>
        <v>6.392049598832969E-2</v>
      </c>
      <c r="M161" t="str">
        <f>IF(Table1[[#This Row],[Profit Margin]]&gt;0,"Profit")</f>
        <v>Profit</v>
      </c>
    </row>
    <row r="162" spans="1:13" x14ac:dyDescent="0.3">
      <c r="A162">
        <v>161</v>
      </c>
      <c r="B162" t="s">
        <v>10</v>
      </c>
      <c r="C162" t="s">
        <v>17</v>
      </c>
      <c r="D162">
        <v>9</v>
      </c>
      <c r="E162">
        <v>928</v>
      </c>
      <c r="F162">
        <v>8352</v>
      </c>
      <c r="G162">
        <v>1061.3800000000001</v>
      </c>
      <c r="H162" t="s">
        <v>20</v>
      </c>
      <c r="I162" t="s">
        <v>29</v>
      </c>
      <c r="J162" t="str">
        <f t="shared" ref="J162:J193" si="15">TEXT(I:I,"yyyy")</f>
        <v>2023</v>
      </c>
      <c r="K162" t="str">
        <f t="shared" ref="K162:K193" si="16">TEXT(I162,"mmm")</f>
        <v>Jul</v>
      </c>
      <c r="L162" s="2">
        <f t="shared" ref="L162:L193" si="17">G162/F162</f>
        <v>0.12708093869731801</v>
      </c>
      <c r="M162" t="str">
        <f>IF(Table1[[#This Row],[Profit Margin]]&gt;0,"Profit")</f>
        <v>Profit</v>
      </c>
    </row>
    <row r="163" spans="1:13" x14ac:dyDescent="0.3">
      <c r="A163">
        <v>162</v>
      </c>
      <c r="B163" t="s">
        <v>12</v>
      </c>
      <c r="C163" t="s">
        <v>16</v>
      </c>
      <c r="D163">
        <v>2</v>
      </c>
      <c r="E163">
        <v>1082</v>
      </c>
      <c r="F163">
        <v>2164</v>
      </c>
      <c r="G163">
        <v>441.77</v>
      </c>
      <c r="H163" t="s">
        <v>18</v>
      </c>
      <c r="I163" t="s">
        <v>151</v>
      </c>
      <c r="J163" t="str">
        <f t="shared" si="15"/>
        <v>2023</v>
      </c>
      <c r="K163" t="str">
        <f t="shared" si="16"/>
        <v>Aug</v>
      </c>
      <c r="L163" s="2">
        <f t="shared" si="17"/>
        <v>0.20414510166358593</v>
      </c>
      <c r="M163" t="str">
        <f>IF(Table1[[#This Row],[Profit Margin]]&gt;0,"Profit")</f>
        <v>Profit</v>
      </c>
    </row>
    <row r="164" spans="1:13" x14ac:dyDescent="0.3">
      <c r="A164">
        <v>163</v>
      </c>
      <c r="B164" t="s">
        <v>12</v>
      </c>
      <c r="C164" t="s">
        <v>16</v>
      </c>
      <c r="D164">
        <v>6</v>
      </c>
      <c r="E164">
        <v>1003</v>
      </c>
      <c r="F164">
        <v>6018</v>
      </c>
      <c r="G164">
        <v>827.02</v>
      </c>
      <c r="H164" t="s">
        <v>19</v>
      </c>
      <c r="I164" t="s">
        <v>114</v>
      </c>
      <c r="J164" t="str">
        <f t="shared" si="15"/>
        <v>2023</v>
      </c>
      <c r="K164" t="str">
        <f t="shared" si="16"/>
        <v>Feb</v>
      </c>
      <c r="L164" s="2">
        <f t="shared" si="17"/>
        <v>0.13742439348620805</v>
      </c>
      <c r="M164" t="str">
        <f>IF(Table1[[#This Row],[Profit Margin]]&gt;0,"Profit")</f>
        <v>Profit</v>
      </c>
    </row>
    <row r="165" spans="1:13" x14ac:dyDescent="0.3">
      <c r="A165">
        <v>164</v>
      </c>
      <c r="B165" t="s">
        <v>9</v>
      </c>
      <c r="C165" t="s">
        <v>15</v>
      </c>
      <c r="D165">
        <v>2</v>
      </c>
      <c r="E165">
        <v>1640</v>
      </c>
      <c r="F165">
        <v>3280</v>
      </c>
      <c r="G165">
        <v>784.83</v>
      </c>
      <c r="H165" t="s">
        <v>18</v>
      </c>
      <c r="I165" t="s">
        <v>152</v>
      </c>
      <c r="J165" t="str">
        <f t="shared" si="15"/>
        <v>2023</v>
      </c>
      <c r="K165" t="str">
        <f t="shared" si="16"/>
        <v>Jan</v>
      </c>
      <c r="L165" s="2">
        <f t="shared" si="17"/>
        <v>0.23927743902439025</v>
      </c>
      <c r="M165" t="str">
        <f>IF(Table1[[#This Row],[Profit Margin]]&gt;0,"Profit")</f>
        <v>Profit</v>
      </c>
    </row>
    <row r="166" spans="1:13" x14ac:dyDescent="0.3">
      <c r="A166">
        <v>165</v>
      </c>
      <c r="B166" t="s">
        <v>9</v>
      </c>
      <c r="C166" t="s">
        <v>15</v>
      </c>
      <c r="D166">
        <v>6</v>
      </c>
      <c r="E166">
        <v>1531</v>
      </c>
      <c r="F166">
        <v>9186</v>
      </c>
      <c r="G166">
        <v>760.72</v>
      </c>
      <c r="H166" t="s">
        <v>20</v>
      </c>
      <c r="I166" t="s">
        <v>153</v>
      </c>
      <c r="J166" t="str">
        <f t="shared" si="15"/>
        <v>2023</v>
      </c>
      <c r="K166" t="str">
        <f t="shared" si="16"/>
        <v>Jul</v>
      </c>
      <c r="L166" s="2">
        <f t="shared" si="17"/>
        <v>8.2812976268234278E-2</v>
      </c>
      <c r="M166" t="str">
        <f>IF(Table1[[#This Row],[Profit Margin]]&gt;0,"Profit")</f>
        <v>Profit</v>
      </c>
    </row>
    <row r="167" spans="1:13" x14ac:dyDescent="0.3">
      <c r="A167">
        <v>166</v>
      </c>
      <c r="B167" t="s">
        <v>10</v>
      </c>
      <c r="C167" t="s">
        <v>17</v>
      </c>
      <c r="D167">
        <v>3</v>
      </c>
      <c r="E167">
        <v>1903</v>
      </c>
      <c r="F167">
        <v>5709</v>
      </c>
      <c r="G167">
        <v>1287.97</v>
      </c>
      <c r="H167" t="s">
        <v>19</v>
      </c>
      <c r="I167" t="s">
        <v>154</v>
      </c>
      <c r="J167" t="str">
        <f t="shared" si="15"/>
        <v>2023</v>
      </c>
      <c r="K167" t="str">
        <f t="shared" si="16"/>
        <v>Jun</v>
      </c>
      <c r="L167" s="2">
        <f t="shared" si="17"/>
        <v>0.22560343317568751</v>
      </c>
      <c r="M167" t="str">
        <f>IF(Table1[[#This Row],[Profit Margin]]&gt;0,"Profit")</f>
        <v>Profit</v>
      </c>
    </row>
    <row r="168" spans="1:13" x14ac:dyDescent="0.3">
      <c r="A168">
        <v>167</v>
      </c>
      <c r="B168" t="s">
        <v>10</v>
      </c>
      <c r="C168" t="s">
        <v>17</v>
      </c>
      <c r="D168">
        <v>2</v>
      </c>
      <c r="E168">
        <v>1493</v>
      </c>
      <c r="F168">
        <v>2986</v>
      </c>
      <c r="G168">
        <v>396.73</v>
      </c>
      <c r="H168" t="s">
        <v>19</v>
      </c>
      <c r="I168" t="s">
        <v>64</v>
      </c>
      <c r="J168" t="str">
        <f t="shared" si="15"/>
        <v>2023</v>
      </c>
      <c r="K168" t="str">
        <f t="shared" si="16"/>
        <v>Jul</v>
      </c>
      <c r="L168" s="2">
        <f t="shared" si="17"/>
        <v>0.13286336235766913</v>
      </c>
      <c r="M168" t="str">
        <f>IF(Table1[[#This Row],[Profit Margin]]&gt;0,"Profit")</f>
        <v>Profit</v>
      </c>
    </row>
    <row r="169" spans="1:13" x14ac:dyDescent="0.3">
      <c r="A169">
        <v>168</v>
      </c>
      <c r="B169" t="s">
        <v>11</v>
      </c>
      <c r="C169" t="s">
        <v>14</v>
      </c>
      <c r="D169">
        <v>2</v>
      </c>
      <c r="E169">
        <v>513</v>
      </c>
      <c r="F169">
        <v>1026</v>
      </c>
      <c r="G169">
        <v>193.25</v>
      </c>
      <c r="H169" t="s">
        <v>19</v>
      </c>
      <c r="I169" t="s">
        <v>32</v>
      </c>
      <c r="J169" t="str">
        <f t="shared" si="15"/>
        <v>2023</v>
      </c>
      <c r="K169" t="str">
        <f t="shared" si="16"/>
        <v>Feb</v>
      </c>
      <c r="L169" s="2">
        <f t="shared" si="17"/>
        <v>0.18835282651072124</v>
      </c>
      <c r="M169" t="str">
        <f>IF(Table1[[#This Row],[Profit Margin]]&gt;0,"Profit")</f>
        <v>Profit</v>
      </c>
    </row>
    <row r="170" spans="1:13" x14ac:dyDescent="0.3">
      <c r="A170">
        <v>169</v>
      </c>
      <c r="B170" t="s">
        <v>11</v>
      </c>
      <c r="C170" t="s">
        <v>14</v>
      </c>
      <c r="D170">
        <v>2</v>
      </c>
      <c r="E170">
        <v>502</v>
      </c>
      <c r="F170">
        <v>1004</v>
      </c>
      <c r="G170">
        <v>136.81</v>
      </c>
      <c r="H170" t="s">
        <v>20</v>
      </c>
      <c r="I170" t="s">
        <v>155</v>
      </c>
      <c r="J170" t="str">
        <f t="shared" si="15"/>
        <v>2023</v>
      </c>
      <c r="K170" t="str">
        <f t="shared" si="16"/>
        <v>Apr</v>
      </c>
      <c r="L170" s="2">
        <f t="shared" si="17"/>
        <v>0.13626494023904381</v>
      </c>
      <c r="M170" t="str">
        <f>IF(Table1[[#This Row],[Profit Margin]]&gt;0,"Profit")</f>
        <v>Profit</v>
      </c>
    </row>
    <row r="171" spans="1:13" x14ac:dyDescent="0.3">
      <c r="A171">
        <v>170</v>
      </c>
      <c r="B171" t="s">
        <v>9</v>
      </c>
      <c r="C171" t="s">
        <v>17</v>
      </c>
      <c r="D171">
        <v>5</v>
      </c>
      <c r="E171">
        <v>848</v>
      </c>
      <c r="F171">
        <v>4240</v>
      </c>
      <c r="G171">
        <v>1242.8900000000001</v>
      </c>
      <c r="H171" t="s">
        <v>20</v>
      </c>
      <c r="I171" t="s">
        <v>147</v>
      </c>
      <c r="J171" t="str">
        <f t="shared" si="15"/>
        <v>2023</v>
      </c>
      <c r="K171" t="str">
        <f t="shared" si="16"/>
        <v>Jun</v>
      </c>
      <c r="L171" s="2">
        <f t="shared" si="17"/>
        <v>0.29313443396226418</v>
      </c>
      <c r="M171" t="str">
        <f>IF(Table1[[#This Row],[Profit Margin]]&gt;0,"Profit")</f>
        <v>Profit</v>
      </c>
    </row>
    <row r="172" spans="1:13" x14ac:dyDescent="0.3">
      <c r="A172">
        <v>171</v>
      </c>
      <c r="B172" t="s">
        <v>11</v>
      </c>
      <c r="C172" t="s">
        <v>14</v>
      </c>
      <c r="D172">
        <v>3</v>
      </c>
      <c r="E172">
        <v>1714</v>
      </c>
      <c r="F172">
        <v>5142</v>
      </c>
      <c r="G172">
        <v>1288.48</v>
      </c>
      <c r="H172" t="s">
        <v>19</v>
      </c>
      <c r="I172" t="s">
        <v>103</v>
      </c>
      <c r="J172" t="str">
        <f t="shared" si="15"/>
        <v>2023</v>
      </c>
      <c r="K172" t="str">
        <f t="shared" si="16"/>
        <v>Oct</v>
      </c>
      <c r="L172" s="2">
        <f t="shared" si="17"/>
        <v>0.25057954103461688</v>
      </c>
      <c r="M172" t="str">
        <f>IF(Table1[[#This Row],[Profit Margin]]&gt;0,"Profit")</f>
        <v>Profit</v>
      </c>
    </row>
    <row r="173" spans="1:13" x14ac:dyDescent="0.3">
      <c r="A173">
        <v>172</v>
      </c>
      <c r="B173" t="s">
        <v>10</v>
      </c>
      <c r="C173" t="s">
        <v>14</v>
      </c>
      <c r="D173">
        <v>5</v>
      </c>
      <c r="E173">
        <v>570</v>
      </c>
      <c r="F173">
        <v>2850</v>
      </c>
      <c r="G173">
        <v>784.3</v>
      </c>
      <c r="H173" t="s">
        <v>20</v>
      </c>
      <c r="I173" t="s">
        <v>156</v>
      </c>
      <c r="J173" t="str">
        <f t="shared" si="15"/>
        <v>2023</v>
      </c>
      <c r="K173" t="str">
        <f t="shared" si="16"/>
        <v>Nov</v>
      </c>
      <c r="L173" s="2">
        <f t="shared" si="17"/>
        <v>0.27519298245614032</v>
      </c>
      <c r="M173" t="str">
        <f>IF(Table1[[#This Row],[Profit Margin]]&gt;0,"Profit")</f>
        <v>Profit</v>
      </c>
    </row>
    <row r="174" spans="1:13" x14ac:dyDescent="0.3">
      <c r="A174">
        <v>173</v>
      </c>
      <c r="B174" t="s">
        <v>12</v>
      </c>
      <c r="C174" t="s">
        <v>14</v>
      </c>
      <c r="D174">
        <v>1</v>
      </c>
      <c r="E174">
        <v>320</v>
      </c>
      <c r="F174">
        <v>320</v>
      </c>
      <c r="G174">
        <v>16.079999999999998</v>
      </c>
      <c r="H174" t="s">
        <v>18</v>
      </c>
      <c r="I174" t="s">
        <v>64</v>
      </c>
      <c r="J174" t="str">
        <f t="shared" si="15"/>
        <v>2023</v>
      </c>
      <c r="K174" t="str">
        <f t="shared" si="16"/>
        <v>Jul</v>
      </c>
      <c r="L174" s="2">
        <f t="shared" si="17"/>
        <v>5.0249999999999996E-2</v>
      </c>
      <c r="M174" t="str">
        <f>IF(Table1[[#This Row],[Profit Margin]]&gt;0,"Profit")</f>
        <v>Profit</v>
      </c>
    </row>
    <row r="175" spans="1:13" x14ac:dyDescent="0.3">
      <c r="A175">
        <v>174</v>
      </c>
      <c r="B175" t="s">
        <v>11</v>
      </c>
      <c r="C175" t="s">
        <v>15</v>
      </c>
      <c r="D175">
        <v>2</v>
      </c>
      <c r="E175">
        <v>244</v>
      </c>
      <c r="F175">
        <v>488</v>
      </c>
      <c r="G175">
        <v>27.14</v>
      </c>
      <c r="H175" t="s">
        <v>19</v>
      </c>
      <c r="I175" t="s">
        <v>157</v>
      </c>
      <c r="J175" t="str">
        <f t="shared" si="15"/>
        <v>2023</v>
      </c>
      <c r="K175" t="str">
        <f t="shared" si="16"/>
        <v>Mar</v>
      </c>
      <c r="L175" s="2">
        <f t="shared" si="17"/>
        <v>5.5614754098360655E-2</v>
      </c>
      <c r="M175" t="str">
        <f>IF(Table1[[#This Row],[Profit Margin]]&gt;0,"Profit")</f>
        <v>Profit</v>
      </c>
    </row>
    <row r="176" spans="1:13" x14ac:dyDescent="0.3">
      <c r="A176">
        <v>175</v>
      </c>
      <c r="B176" t="s">
        <v>13</v>
      </c>
      <c r="C176" t="s">
        <v>15</v>
      </c>
      <c r="D176">
        <v>6</v>
      </c>
      <c r="E176">
        <v>420</v>
      </c>
      <c r="F176">
        <v>2520</v>
      </c>
      <c r="G176">
        <v>422.2</v>
      </c>
      <c r="H176" t="s">
        <v>18</v>
      </c>
      <c r="I176" t="s">
        <v>158</v>
      </c>
      <c r="J176" t="str">
        <f t="shared" si="15"/>
        <v>2023</v>
      </c>
      <c r="K176" t="str">
        <f t="shared" si="16"/>
        <v>Mar</v>
      </c>
      <c r="L176" s="2">
        <f t="shared" si="17"/>
        <v>0.16753968253968254</v>
      </c>
      <c r="M176" t="str">
        <f>IF(Table1[[#This Row],[Profit Margin]]&gt;0,"Profit")</f>
        <v>Profit</v>
      </c>
    </row>
    <row r="177" spans="1:13" x14ac:dyDescent="0.3">
      <c r="A177">
        <v>176</v>
      </c>
      <c r="B177" t="s">
        <v>9</v>
      </c>
      <c r="C177" t="s">
        <v>16</v>
      </c>
      <c r="D177">
        <v>6</v>
      </c>
      <c r="E177">
        <v>497</v>
      </c>
      <c r="F177">
        <v>2982</v>
      </c>
      <c r="G177">
        <v>544.6</v>
      </c>
      <c r="H177" t="s">
        <v>19</v>
      </c>
      <c r="I177" t="s">
        <v>74</v>
      </c>
      <c r="J177" t="str">
        <f t="shared" si="15"/>
        <v>2023</v>
      </c>
      <c r="K177" t="str">
        <f t="shared" si="16"/>
        <v>Aug</v>
      </c>
      <c r="L177" s="2">
        <f t="shared" si="17"/>
        <v>0.18262910798122067</v>
      </c>
      <c r="M177" t="str">
        <f>IF(Table1[[#This Row],[Profit Margin]]&gt;0,"Profit")</f>
        <v>Profit</v>
      </c>
    </row>
    <row r="178" spans="1:13" x14ac:dyDescent="0.3">
      <c r="A178">
        <v>177</v>
      </c>
      <c r="B178" t="s">
        <v>11</v>
      </c>
      <c r="C178" t="s">
        <v>14</v>
      </c>
      <c r="D178">
        <v>8</v>
      </c>
      <c r="E178">
        <v>1946</v>
      </c>
      <c r="F178">
        <v>15568</v>
      </c>
      <c r="G178">
        <v>1029.8699999999999</v>
      </c>
      <c r="H178" t="s">
        <v>19</v>
      </c>
      <c r="I178" t="s">
        <v>115</v>
      </c>
      <c r="J178" t="str">
        <f t="shared" si="15"/>
        <v>2023</v>
      </c>
      <c r="K178" t="str">
        <f t="shared" si="16"/>
        <v>Jan</v>
      </c>
      <c r="L178" s="2">
        <f t="shared" si="17"/>
        <v>6.6153006166495373E-2</v>
      </c>
      <c r="M178" t="str">
        <f>IF(Table1[[#This Row],[Profit Margin]]&gt;0,"Profit")</f>
        <v>Profit</v>
      </c>
    </row>
    <row r="179" spans="1:13" x14ac:dyDescent="0.3">
      <c r="A179">
        <v>178</v>
      </c>
      <c r="B179" t="s">
        <v>12</v>
      </c>
      <c r="C179" t="s">
        <v>14</v>
      </c>
      <c r="D179">
        <v>7</v>
      </c>
      <c r="E179">
        <v>485</v>
      </c>
      <c r="F179">
        <v>3395</v>
      </c>
      <c r="G179">
        <v>786.05</v>
      </c>
      <c r="H179" t="s">
        <v>20</v>
      </c>
      <c r="I179" t="s">
        <v>159</v>
      </c>
      <c r="J179" t="str">
        <f t="shared" si="15"/>
        <v>2023</v>
      </c>
      <c r="K179" t="str">
        <f t="shared" si="16"/>
        <v>Mar</v>
      </c>
      <c r="L179" s="2">
        <f t="shared" si="17"/>
        <v>0.23153166421207658</v>
      </c>
      <c r="M179" t="str">
        <f>IF(Table1[[#This Row],[Profit Margin]]&gt;0,"Profit")</f>
        <v>Profit</v>
      </c>
    </row>
    <row r="180" spans="1:13" x14ac:dyDescent="0.3">
      <c r="A180">
        <v>179</v>
      </c>
      <c r="B180" t="s">
        <v>13</v>
      </c>
      <c r="C180" t="s">
        <v>14</v>
      </c>
      <c r="D180">
        <v>7</v>
      </c>
      <c r="E180">
        <v>238</v>
      </c>
      <c r="F180">
        <v>1666</v>
      </c>
      <c r="G180">
        <v>401.91</v>
      </c>
      <c r="H180" t="s">
        <v>20</v>
      </c>
      <c r="I180" t="s">
        <v>92</v>
      </c>
      <c r="J180" t="str">
        <f t="shared" si="15"/>
        <v>2023</v>
      </c>
      <c r="K180" t="str">
        <f t="shared" si="16"/>
        <v>Dec</v>
      </c>
      <c r="L180" s="2">
        <f t="shared" si="17"/>
        <v>0.24124249699879954</v>
      </c>
      <c r="M180" t="str">
        <f>IF(Table1[[#This Row],[Profit Margin]]&gt;0,"Profit")</f>
        <v>Profit</v>
      </c>
    </row>
    <row r="181" spans="1:13" x14ac:dyDescent="0.3">
      <c r="A181">
        <v>180</v>
      </c>
      <c r="B181" t="s">
        <v>10</v>
      </c>
      <c r="C181" t="s">
        <v>14</v>
      </c>
      <c r="D181">
        <v>4</v>
      </c>
      <c r="E181">
        <v>1245</v>
      </c>
      <c r="F181">
        <v>4980</v>
      </c>
      <c r="G181">
        <v>1326.24</v>
      </c>
      <c r="H181" t="s">
        <v>19</v>
      </c>
      <c r="I181" t="s">
        <v>43</v>
      </c>
      <c r="J181" t="str">
        <f t="shared" si="15"/>
        <v>2023</v>
      </c>
      <c r="K181" t="str">
        <f t="shared" si="16"/>
        <v>Jun</v>
      </c>
      <c r="L181" s="2">
        <f t="shared" si="17"/>
        <v>0.26631325301204817</v>
      </c>
      <c r="M181" t="str">
        <f>IF(Table1[[#This Row],[Profit Margin]]&gt;0,"Profit")</f>
        <v>Profit</v>
      </c>
    </row>
    <row r="182" spans="1:13" x14ac:dyDescent="0.3">
      <c r="A182">
        <v>181</v>
      </c>
      <c r="B182" t="s">
        <v>11</v>
      </c>
      <c r="C182" t="s">
        <v>14</v>
      </c>
      <c r="D182">
        <v>7</v>
      </c>
      <c r="E182">
        <v>1538</v>
      </c>
      <c r="F182">
        <v>10766</v>
      </c>
      <c r="G182">
        <v>2353.88</v>
      </c>
      <c r="H182" t="s">
        <v>20</v>
      </c>
      <c r="I182" t="s">
        <v>127</v>
      </c>
      <c r="J182" t="str">
        <f t="shared" si="15"/>
        <v>2023</v>
      </c>
      <c r="K182" t="str">
        <f t="shared" si="16"/>
        <v>Dec</v>
      </c>
      <c r="L182" s="2">
        <f t="shared" si="17"/>
        <v>0.21864016347761472</v>
      </c>
      <c r="M182" t="str">
        <f>IF(Table1[[#This Row],[Profit Margin]]&gt;0,"Profit")</f>
        <v>Profit</v>
      </c>
    </row>
    <row r="183" spans="1:13" x14ac:dyDescent="0.3">
      <c r="A183">
        <v>182</v>
      </c>
      <c r="B183" t="s">
        <v>10</v>
      </c>
      <c r="C183" t="s">
        <v>14</v>
      </c>
      <c r="D183">
        <v>7</v>
      </c>
      <c r="E183">
        <v>326</v>
      </c>
      <c r="F183">
        <v>2282</v>
      </c>
      <c r="G183">
        <v>619.66</v>
      </c>
      <c r="H183" t="s">
        <v>19</v>
      </c>
      <c r="I183" t="s">
        <v>160</v>
      </c>
      <c r="J183" t="str">
        <f t="shared" si="15"/>
        <v>2023</v>
      </c>
      <c r="K183" t="str">
        <f t="shared" si="16"/>
        <v>May</v>
      </c>
      <c r="L183" s="2">
        <f t="shared" si="17"/>
        <v>0.27154250657318141</v>
      </c>
      <c r="M183" t="str">
        <f>IF(Table1[[#This Row],[Profit Margin]]&gt;0,"Profit")</f>
        <v>Profit</v>
      </c>
    </row>
    <row r="184" spans="1:13" x14ac:dyDescent="0.3">
      <c r="A184">
        <v>183</v>
      </c>
      <c r="B184" t="s">
        <v>12</v>
      </c>
      <c r="C184" t="s">
        <v>16</v>
      </c>
      <c r="D184">
        <v>2</v>
      </c>
      <c r="E184">
        <v>710</v>
      </c>
      <c r="F184">
        <v>1420</v>
      </c>
      <c r="G184">
        <v>259.74</v>
      </c>
      <c r="H184" t="s">
        <v>20</v>
      </c>
      <c r="I184" t="s">
        <v>153</v>
      </c>
      <c r="J184" t="str">
        <f t="shared" si="15"/>
        <v>2023</v>
      </c>
      <c r="K184" t="str">
        <f t="shared" si="16"/>
        <v>Jul</v>
      </c>
      <c r="L184" s="2">
        <f t="shared" si="17"/>
        <v>0.18291549295774648</v>
      </c>
      <c r="M184" t="str">
        <f>IF(Table1[[#This Row],[Profit Margin]]&gt;0,"Profit")</f>
        <v>Profit</v>
      </c>
    </row>
    <row r="185" spans="1:13" x14ac:dyDescent="0.3">
      <c r="A185">
        <v>184</v>
      </c>
      <c r="B185" t="s">
        <v>11</v>
      </c>
      <c r="C185" t="s">
        <v>16</v>
      </c>
      <c r="D185">
        <v>3</v>
      </c>
      <c r="E185">
        <v>1786</v>
      </c>
      <c r="F185">
        <v>5358</v>
      </c>
      <c r="G185">
        <v>772.71</v>
      </c>
      <c r="H185" t="s">
        <v>20</v>
      </c>
      <c r="I185" t="s">
        <v>145</v>
      </c>
      <c r="J185" t="str">
        <f t="shared" si="15"/>
        <v>2023</v>
      </c>
      <c r="K185" t="str">
        <f t="shared" si="16"/>
        <v>Sep</v>
      </c>
      <c r="L185" s="2">
        <f t="shared" si="17"/>
        <v>0.14421612541993281</v>
      </c>
      <c r="M185" t="str">
        <f>IF(Table1[[#This Row],[Profit Margin]]&gt;0,"Profit")</f>
        <v>Profit</v>
      </c>
    </row>
    <row r="186" spans="1:13" x14ac:dyDescent="0.3">
      <c r="A186">
        <v>185</v>
      </c>
      <c r="B186" t="s">
        <v>11</v>
      </c>
      <c r="C186" t="s">
        <v>17</v>
      </c>
      <c r="D186">
        <v>8</v>
      </c>
      <c r="E186">
        <v>1177</v>
      </c>
      <c r="F186">
        <v>9416</v>
      </c>
      <c r="G186">
        <v>997.57</v>
      </c>
      <c r="H186" t="s">
        <v>19</v>
      </c>
      <c r="I186" t="s">
        <v>161</v>
      </c>
      <c r="J186" t="str">
        <f t="shared" si="15"/>
        <v>2023</v>
      </c>
      <c r="K186" t="str">
        <f t="shared" si="16"/>
        <v>Nov</v>
      </c>
      <c r="L186" s="2">
        <f t="shared" si="17"/>
        <v>0.10594413763806287</v>
      </c>
      <c r="M186" t="str">
        <f>IF(Table1[[#This Row],[Profit Margin]]&gt;0,"Profit")</f>
        <v>Profit</v>
      </c>
    </row>
    <row r="187" spans="1:13" x14ac:dyDescent="0.3">
      <c r="A187">
        <v>186</v>
      </c>
      <c r="B187" t="s">
        <v>10</v>
      </c>
      <c r="C187" t="s">
        <v>16</v>
      </c>
      <c r="D187">
        <v>9</v>
      </c>
      <c r="E187">
        <v>382</v>
      </c>
      <c r="F187">
        <v>3438</v>
      </c>
      <c r="G187">
        <v>738.47</v>
      </c>
      <c r="H187" t="s">
        <v>18</v>
      </c>
      <c r="I187" t="s">
        <v>162</v>
      </c>
      <c r="J187" t="str">
        <f t="shared" si="15"/>
        <v>2023</v>
      </c>
      <c r="K187" t="str">
        <f t="shared" si="16"/>
        <v>Oct</v>
      </c>
      <c r="L187" s="2">
        <f t="shared" si="17"/>
        <v>0.21479639325189065</v>
      </c>
      <c r="M187" t="str">
        <f>IF(Table1[[#This Row],[Profit Margin]]&gt;0,"Profit")</f>
        <v>Profit</v>
      </c>
    </row>
    <row r="188" spans="1:13" x14ac:dyDescent="0.3">
      <c r="A188">
        <v>187</v>
      </c>
      <c r="B188" t="s">
        <v>10</v>
      </c>
      <c r="C188" t="s">
        <v>17</v>
      </c>
      <c r="D188">
        <v>6</v>
      </c>
      <c r="E188">
        <v>441</v>
      </c>
      <c r="F188">
        <v>2646</v>
      </c>
      <c r="G188">
        <v>422.9</v>
      </c>
      <c r="H188" t="s">
        <v>20</v>
      </c>
      <c r="I188" t="s">
        <v>88</v>
      </c>
      <c r="J188" t="str">
        <f t="shared" si="15"/>
        <v>2023</v>
      </c>
      <c r="K188" t="str">
        <f t="shared" si="16"/>
        <v>Dec</v>
      </c>
      <c r="L188" s="2">
        <f t="shared" si="17"/>
        <v>0.15982615268329553</v>
      </c>
      <c r="M188" t="str">
        <f>IF(Table1[[#This Row],[Profit Margin]]&gt;0,"Profit")</f>
        <v>Profit</v>
      </c>
    </row>
    <row r="189" spans="1:13" x14ac:dyDescent="0.3">
      <c r="A189">
        <v>188</v>
      </c>
      <c r="B189" t="s">
        <v>12</v>
      </c>
      <c r="C189" t="s">
        <v>16</v>
      </c>
      <c r="D189">
        <v>7</v>
      </c>
      <c r="E189">
        <v>1466</v>
      </c>
      <c r="F189">
        <v>10262</v>
      </c>
      <c r="G189">
        <v>2325.92</v>
      </c>
      <c r="H189" t="s">
        <v>20</v>
      </c>
      <c r="I189" t="s">
        <v>163</v>
      </c>
      <c r="J189" t="str">
        <f t="shared" si="15"/>
        <v>2023</v>
      </c>
      <c r="K189" t="str">
        <f t="shared" si="16"/>
        <v>Aug</v>
      </c>
      <c r="L189" s="2">
        <f t="shared" si="17"/>
        <v>0.22665367374780745</v>
      </c>
      <c r="M189" t="str">
        <f>IF(Table1[[#This Row],[Profit Margin]]&gt;0,"Profit")</f>
        <v>Profit</v>
      </c>
    </row>
    <row r="190" spans="1:13" x14ac:dyDescent="0.3">
      <c r="A190">
        <v>189</v>
      </c>
      <c r="B190" t="s">
        <v>9</v>
      </c>
      <c r="C190" t="s">
        <v>14</v>
      </c>
      <c r="D190">
        <v>4</v>
      </c>
      <c r="E190">
        <v>1390</v>
      </c>
      <c r="F190">
        <v>5560</v>
      </c>
      <c r="G190">
        <v>1629.49</v>
      </c>
      <c r="H190" t="s">
        <v>19</v>
      </c>
      <c r="I190" t="s">
        <v>47</v>
      </c>
      <c r="J190" t="str">
        <f t="shared" si="15"/>
        <v>2023</v>
      </c>
      <c r="K190" t="str">
        <f t="shared" si="16"/>
        <v>Nov</v>
      </c>
      <c r="L190" s="2">
        <f t="shared" si="17"/>
        <v>0.29307374100719424</v>
      </c>
      <c r="M190" t="str">
        <f>IF(Table1[[#This Row],[Profit Margin]]&gt;0,"Profit")</f>
        <v>Profit</v>
      </c>
    </row>
    <row r="191" spans="1:13" x14ac:dyDescent="0.3">
      <c r="A191">
        <v>190</v>
      </c>
      <c r="B191" t="s">
        <v>11</v>
      </c>
      <c r="C191" t="s">
        <v>17</v>
      </c>
      <c r="D191">
        <v>8</v>
      </c>
      <c r="E191">
        <v>1437</v>
      </c>
      <c r="F191">
        <v>11496</v>
      </c>
      <c r="G191">
        <v>2008.54</v>
      </c>
      <c r="H191" t="s">
        <v>19</v>
      </c>
      <c r="I191" t="s">
        <v>164</v>
      </c>
      <c r="J191" t="str">
        <f t="shared" si="15"/>
        <v>2023</v>
      </c>
      <c r="K191" t="str">
        <f t="shared" si="16"/>
        <v>Sep</v>
      </c>
      <c r="L191" s="2">
        <f t="shared" si="17"/>
        <v>0.17471642310368823</v>
      </c>
      <c r="M191" t="str">
        <f>IF(Table1[[#This Row],[Profit Margin]]&gt;0,"Profit")</f>
        <v>Profit</v>
      </c>
    </row>
    <row r="192" spans="1:13" x14ac:dyDescent="0.3">
      <c r="A192">
        <v>191</v>
      </c>
      <c r="B192" t="s">
        <v>13</v>
      </c>
      <c r="C192" t="s">
        <v>15</v>
      </c>
      <c r="D192">
        <v>2</v>
      </c>
      <c r="E192">
        <v>510</v>
      </c>
      <c r="F192">
        <v>1020</v>
      </c>
      <c r="G192">
        <v>297.43</v>
      </c>
      <c r="H192" t="s">
        <v>20</v>
      </c>
      <c r="I192" t="s">
        <v>25</v>
      </c>
      <c r="J192" t="str">
        <f t="shared" si="15"/>
        <v>2023</v>
      </c>
      <c r="K192" t="str">
        <f t="shared" si="16"/>
        <v>May</v>
      </c>
      <c r="L192" s="2">
        <f t="shared" si="17"/>
        <v>0.29159803921568628</v>
      </c>
      <c r="M192" t="str">
        <f>IF(Table1[[#This Row],[Profit Margin]]&gt;0,"Profit")</f>
        <v>Profit</v>
      </c>
    </row>
    <row r="193" spans="1:13" x14ac:dyDescent="0.3">
      <c r="A193">
        <v>192</v>
      </c>
      <c r="B193" t="s">
        <v>13</v>
      </c>
      <c r="C193" t="s">
        <v>17</v>
      </c>
      <c r="D193">
        <v>7</v>
      </c>
      <c r="E193">
        <v>1088</v>
      </c>
      <c r="F193">
        <v>7616</v>
      </c>
      <c r="G193">
        <v>2243.62</v>
      </c>
      <c r="H193" t="s">
        <v>20</v>
      </c>
      <c r="I193" t="s">
        <v>45</v>
      </c>
      <c r="J193" t="str">
        <f t="shared" si="15"/>
        <v>2023</v>
      </c>
      <c r="K193" t="str">
        <f t="shared" si="16"/>
        <v>Oct</v>
      </c>
      <c r="L193" s="2">
        <f t="shared" si="17"/>
        <v>0.29459296218487391</v>
      </c>
      <c r="M193" t="str">
        <f>IF(Table1[[#This Row],[Profit Margin]]&gt;0,"Profit")</f>
        <v>Profit</v>
      </c>
    </row>
    <row r="194" spans="1:13" x14ac:dyDescent="0.3">
      <c r="A194">
        <v>193</v>
      </c>
      <c r="B194" t="s">
        <v>12</v>
      </c>
      <c r="C194" t="s">
        <v>16</v>
      </c>
      <c r="D194">
        <v>1</v>
      </c>
      <c r="E194">
        <v>1799</v>
      </c>
      <c r="F194">
        <v>1799</v>
      </c>
      <c r="G194">
        <v>232.59</v>
      </c>
      <c r="H194" t="s">
        <v>18</v>
      </c>
      <c r="I194" t="s">
        <v>165</v>
      </c>
      <c r="J194" t="str">
        <f t="shared" ref="J194:J201" si="18">TEXT(I:I,"yyyy")</f>
        <v>2023</v>
      </c>
      <c r="K194" t="str">
        <f t="shared" ref="K194:K201" si="19">TEXT(I194,"mmm")</f>
        <v>Sep</v>
      </c>
      <c r="L194" s="2">
        <f t="shared" ref="L194:L201" si="20">G194/F194</f>
        <v>0.12928849360755976</v>
      </c>
      <c r="M194" t="str">
        <f>IF(Table1[[#This Row],[Profit Margin]]&gt;0,"Profit")</f>
        <v>Profit</v>
      </c>
    </row>
    <row r="195" spans="1:13" x14ac:dyDescent="0.3">
      <c r="A195">
        <v>194</v>
      </c>
      <c r="B195" t="s">
        <v>12</v>
      </c>
      <c r="C195" t="s">
        <v>14</v>
      </c>
      <c r="D195">
        <v>9</v>
      </c>
      <c r="E195">
        <v>865</v>
      </c>
      <c r="F195">
        <v>7785</v>
      </c>
      <c r="G195">
        <v>2227.92</v>
      </c>
      <c r="H195" t="s">
        <v>18</v>
      </c>
      <c r="I195" t="s">
        <v>166</v>
      </c>
      <c r="J195" t="str">
        <f t="shared" si="18"/>
        <v>2023</v>
      </c>
      <c r="K195" t="str">
        <f t="shared" si="19"/>
        <v>Oct</v>
      </c>
      <c r="L195" s="2">
        <f t="shared" si="20"/>
        <v>0.28618111753371872</v>
      </c>
      <c r="M195" t="str">
        <f>IF(Table1[[#This Row],[Profit Margin]]&gt;0,"Profit")</f>
        <v>Profit</v>
      </c>
    </row>
    <row r="196" spans="1:13" x14ac:dyDescent="0.3">
      <c r="A196">
        <v>195</v>
      </c>
      <c r="B196" t="s">
        <v>13</v>
      </c>
      <c r="C196" t="s">
        <v>15</v>
      </c>
      <c r="D196">
        <v>4</v>
      </c>
      <c r="E196">
        <v>588</v>
      </c>
      <c r="F196">
        <v>2352</v>
      </c>
      <c r="G196">
        <v>679.94</v>
      </c>
      <c r="H196" t="s">
        <v>20</v>
      </c>
      <c r="I196" t="s">
        <v>167</v>
      </c>
      <c r="J196" t="str">
        <f t="shared" si="18"/>
        <v>2023</v>
      </c>
      <c r="K196" t="str">
        <f t="shared" si="19"/>
        <v>Aug</v>
      </c>
      <c r="L196" s="2">
        <f t="shared" si="20"/>
        <v>0.2890901360544218</v>
      </c>
      <c r="M196" t="str">
        <f>IF(Table1[[#This Row],[Profit Margin]]&gt;0,"Profit")</f>
        <v>Profit</v>
      </c>
    </row>
    <row r="197" spans="1:13" x14ac:dyDescent="0.3">
      <c r="A197">
        <v>196</v>
      </c>
      <c r="B197" t="s">
        <v>11</v>
      </c>
      <c r="C197" t="s">
        <v>14</v>
      </c>
      <c r="D197">
        <v>10</v>
      </c>
      <c r="E197">
        <v>1639</v>
      </c>
      <c r="F197">
        <v>16390</v>
      </c>
      <c r="G197">
        <v>1869.67</v>
      </c>
      <c r="H197" t="s">
        <v>20</v>
      </c>
      <c r="I197" t="s">
        <v>168</v>
      </c>
      <c r="J197" t="str">
        <f t="shared" si="18"/>
        <v>2023</v>
      </c>
      <c r="K197" t="str">
        <f t="shared" si="19"/>
        <v>Jul</v>
      </c>
      <c r="L197" s="2">
        <f t="shared" si="20"/>
        <v>0.11407382550335571</v>
      </c>
      <c r="M197" t="str">
        <f>IF(Table1[[#This Row],[Profit Margin]]&gt;0,"Profit")</f>
        <v>Profit</v>
      </c>
    </row>
    <row r="198" spans="1:13" x14ac:dyDescent="0.3">
      <c r="A198">
        <v>197</v>
      </c>
      <c r="B198" t="s">
        <v>13</v>
      </c>
      <c r="C198" t="s">
        <v>14</v>
      </c>
      <c r="D198">
        <v>1</v>
      </c>
      <c r="E198">
        <v>250</v>
      </c>
      <c r="F198">
        <v>250</v>
      </c>
      <c r="G198">
        <v>63.34</v>
      </c>
      <c r="H198" t="s">
        <v>18</v>
      </c>
      <c r="I198" t="s">
        <v>84</v>
      </c>
      <c r="J198" t="str">
        <f t="shared" si="18"/>
        <v>2023</v>
      </c>
      <c r="K198" t="str">
        <f t="shared" si="19"/>
        <v>Apr</v>
      </c>
      <c r="L198" s="2">
        <f t="shared" si="20"/>
        <v>0.25336000000000003</v>
      </c>
      <c r="M198" t="str">
        <f>IF(Table1[[#This Row],[Profit Margin]]&gt;0,"Profit")</f>
        <v>Profit</v>
      </c>
    </row>
    <row r="199" spans="1:13" x14ac:dyDescent="0.3">
      <c r="A199">
        <v>198</v>
      </c>
      <c r="B199" t="s">
        <v>9</v>
      </c>
      <c r="C199" t="s">
        <v>17</v>
      </c>
      <c r="D199">
        <v>5</v>
      </c>
      <c r="E199">
        <v>1209</v>
      </c>
      <c r="F199">
        <v>6045</v>
      </c>
      <c r="G199">
        <v>1385.77</v>
      </c>
      <c r="H199" t="s">
        <v>19</v>
      </c>
      <c r="I199" t="s">
        <v>137</v>
      </c>
      <c r="J199" t="str">
        <f t="shared" si="18"/>
        <v>2023</v>
      </c>
      <c r="K199" t="str">
        <f t="shared" si="19"/>
        <v>Jun</v>
      </c>
      <c r="L199" s="2">
        <f t="shared" si="20"/>
        <v>0.22924234904880067</v>
      </c>
      <c r="M199" t="str">
        <f>IF(Table1[[#This Row],[Profit Margin]]&gt;0,"Profit")</f>
        <v>Profit</v>
      </c>
    </row>
    <row r="200" spans="1:13" x14ac:dyDescent="0.3">
      <c r="A200">
        <v>199</v>
      </c>
      <c r="B200" t="s">
        <v>10</v>
      </c>
      <c r="C200" t="s">
        <v>16</v>
      </c>
      <c r="D200">
        <v>2</v>
      </c>
      <c r="E200">
        <v>1828</v>
      </c>
      <c r="F200">
        <v>3656</v>
      </c>
      <c r="G200">
        <v>941.49</v>
      </c>
      <c r="H200" t="s">
        <v>20</v>
      </c>
      <c r="I200" t="s">
        <v>169</v>
      </c>
      <c r="J200" t="str">
        <f t="shared" si="18"/>
        <v>2023</v>
      </c>
      <c r="K200" t="str">
        <f t="shared" si="19"/>
        <v>Aug</v>
      </c>
      <c r="L200" s="2">
        <f t="shared" si="20"/>
        <v>0.2575191466083151</v>
      </c>
      <c r="M200" t="str">
        <f>IF(Table1[[#This Row],[Profit Margin]]&gt;0,"Profit")</f>
        <v>Profit</v>
      </c>
    </row>
    <row r="201" spans="1:13" x14ac:dyDescent="0.3">
      <c r="A201">
        <v>200</v>
      </c>
      <c r="B201" t="s">
        <v>12</v>
      </c>
      <c r="C201" t="s">
        <v>17</v>
      </c>
      <c r="D201">
        <v>5</v>
      </c>
      <c r="E201">
        <v>465</v>
      </c>
      <c r="F201">
        <v>2325</v>
      </c>
      <c r="G201">
        <v>280.77</v>
      </c>
      <c r="H201" t="s">
        <v>19</v>
      </c>
      <c r="I201" t="s">
        <v>103</v>
      </c>
      <c r="J201" t="str">
        <f t="shared" si="18"/>
        <v>2023</v>
      </c>
      <c r="K201" t="str">
        <f t="shared" si="19"/>
        <v>Oct</v>
      </c>
      <c r="L201" s="2">
        <f t="shared" si="20"/>
        <v>0.12076129032258064</v>
      </c>
      <c r="M201" t="str">
        <f>IF(Table1[[#This Row],[Profit Margin]]&gt;0,"Profit")</f>
        <v>Profit</v>
      </c>
    </row>
  </sheetData>
  <conditionalFormatting sqref="L2:L201">
    <cfRule type="dataBar" priority="2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{C2DC1C4D-1A12-48AD-B9AB-041289888495}</x14:id>
        </ext>
      </extLst>
    </cfRule>
  </conditionalFormatting>
  <conditionalFormatting sqref="M1:M1048576">
    <cfRule type="cellIs" dxfId="0" priority="1" operator="equal">
      <formula>"Profit"</formula>
    </cfRule>
  </conditionalFormatting>
  <pageMargins left="0.7" right="0.7" top="0.75" bottom="0.75" header="0.3" footer="0.3"/>
  <tableParts count="1">
    <tablePart r:id="rId1"/>
  </tableParts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C2DC1C4D-1A12-48AD-B9AB-041289888495}">
            <x14:dataBar minLength="0" maxLength="100" border="1" negativeBarBorderColorSameAsPositive="0">
              <x14:cfvo type="autoMin"/>
              <x14:cfvo type="autoMax"/>
              <x14:borderColor rgb="FF008AEF"/>
              <x14:negativeFillColor rgb="FFFF0000"/>
              <x14:negativeBorderColor rgb="FFFF0000"/>
              <x14:axisColor rgb="FF000000"/>
            </x14:dataBar>
          </x14:cfRule>
          <xm:sqref>L2:L201</xm:sqref>
        </x14:conditionalFormatting>
      </x14:conditionalFormattings>
    </ext>
  </extLst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09053FA-582B-4DBB-8CAD-90C312E62140}">
  <dimension ref="A1:N39"/>
  <sheetViews>
    <sheetView showGridLines="0" tabSelected="1" zoomScale="83" zoomScaleNormal="51" workbookViewId="0">
      <selection activeCell="C4" sqref="C4"/>
    </sheetView>
  </sheetViews>
  <sheetFormatPr defaultRowHeight="14.4" x14ac:dyDescent="0.3"/>
  <cols>
    <col min="14" max="14" width="21.88671875" customWidth="1"/>
    <col min="15" max="15" width="14.109375" customWidth="1"/>
  </cols>
  <sheetData>
    <row r="1" spans="1:14" ht="25.2" thickBot="1" x14ac:dyDescent="0.45">
      <c r="A1" s="17" t="s">
        <v>193</v>
      </c>
      <c r="B1" s="18"/>
      <c r="C1" s="18"/>
      <c r="D1" s="18"/>
      <c r="E1" s="18"/>
      <c r="F1" s="18"/>
      <c r="G1" s="18"/>
      <c r="H1" s="18"/>
      <c r="I1" s="18"/>
      <c r="J1" s="18"/>
      <c r="K1" s="18"/>
      <c r="L1" s="18"/>
      <c r="M1" s="18"/>
      <c r="N1" s="19"/>
    </row>
    <row r="2" spans="1:14" x14ac:dyDescent="0.3">
      <c r="A2" s="8"/>
      <c r="N2" s="9"/>
    </row>
    <row r="3" spans="1:14" x14ac:dyDescent="0.3">
      <c r="A3" s="8"/>
      <c r="N3" s="9"/>
    </row>
    <row r="4" spans="1:14" ht="22.8" x14ac:dyDescent="0.4">
      <c r="A4" s="8"/>
      <c r="C4" s="16" t="s">
        <v>190</v>
      </c>
      <c r="D4" s="7"/>
      <c r="E4" s="20" t="s">
        <v>202</v>
      </c>
      <c r="F4" s="21"/>
      <c r="G4" s="21"/>
      <c r="H4" s="22" t="s">
        <v>192</v>
      </c>
      <c r="I4" s="22"/>
      <c r="K4" s="22" t="s">
        <v>191</v>
      </c>
      <c r="L4" s="21"/>
      <c r="N4" s="9"/>
    </row>
    <row r="5" spans="1:14" x14ac:dyDescent="0.3">
      <c r="A5" s="8"/>
      <c r="N5" s="9"/>
    </row>
    <row r="6" spans="1:14" x14ac:dyDescent="0.3">
      <c r="A6" s="8"/>
      <c r="N6" s="9"/>
    </row>
    <row r="7" spans="1:14" x14ac:dyDescent="0.3">
      <c r="A7" s="8"/>
      <c r="N7" s="9"/>
    </row>
    <row r="8" spans="1:14" x14ac:dyDescent="0.3">
      <c r="A8" s="8"/>
      <c r="N8" s="9"/>
    </row>
    <row r="9" spans="1:14" x14ac:dyDescent="0.3">
      <c r="A9" s="8"/>
      <c r="N9" s="9"/>
    </row>
    <row r="10" spans="1:14" x14ac:dyDescent="0.3">
      <c r="A10" s="8"/>
      <c r="N10" s="9"/>
    </row>
    <row r="11" spans="1:14" x14ac:dyDescent="0.3">
      <c r="A11" s="8"/>
      <c r="N11" s="9"/>
    </row>
    <row r="12" spans="1:14" x14ac:dyDescent="0.3">
      <c r="A12" s="8"/>
      <c r="N12" s="9"/>
    </row>
    <row r="13" spans="1:14" x14ac:dyDescent="0.3">
      <c r="A13" s="8"/>
      <c r="N13" s="9"/>
    </row>
    <row r="14" spans="1:14" x14ac:dyDescent="0.3">
      <c r="A14" s="8"/>
      <c r="N14" s="9"/>
    </row>
    <row r="15" spans="1:14" x14ac:dyDescent="0.3">
      <c r="A15" s="8"/>
      <c r="N15" s="9"/>
    </row>
    <row r="16" spans="1:14" x14ac:dyDescent="0.3">
      <c r="A16" s="8"/>
      <c r="N16" s="9"/>
    </row>
    <row r="17" spans="1:14" x14ac:dyDescent="0.3">
      <c r="A17" s="8"/>
      <c r="N17" s="9"/>
    </row>
    <row r="18" spans="1:14" x14ac:dyDescent="0.3">
      <c r="A18" s="8"/>
      <c r="N18" s="9"/>
    </row>
    <row r="19" spans="1:14" x14ac:dyDescent="0.3">
      <c r="A19" s="8"/>
      <c r="N19" s="9"/>
    </row>
    <row r="20" spans="1:14" x14ac:dyDescent="0.3">
      <c r="A20" s="8"/>
      <c r="N20" s="9"/>
    </row>
    <row r="21" spans="1:14" x14ac:dyDescent="0.3">
      <c r="A21" s="8"/>
      <c r="N21" s="9"/>
    </row>
    <row r="22" spans="1:14" x14ac:dyDescent="0.3">
      <c r="A22" s="8"/>
      <c r="N22" s="9"/>
    </row>
    <row r="23" spans="1:14" x14ac:dyDescent="0.3">
      <c r="A23" s="8"/>
      <c r="N23" s="9"/>
    </row>
    <row r="24" spans="1:14" x14ac:dyDescent="0.3">
      <c r="A24" s="8"/>
      <c r="N24" s="9"/>
    </row>
    <row r="25" spans="1:14" x14ac:dyDescent="0.3">
      <c r="A25" s="8"/>
      <c r="N25" s="9"/>
    </row>
    <row r="26" spans="1:14" x14ac:dyDescent="0.3">
      <c r="A26" s="8"/>
      <c r="N26" s="9"/>
    </row>
    <row r="27" spans="1:14" x14ac:dyDescent="0.3">
      <c r="A27" s="8"/>
      <c r="N27" s="9"/>
    </row>
    <row r="28" spans="1:14" x14ac:dyDescent="0.3">
      <c r="A28" s="8"/>
      <c r="N28" s="9"/>
    </row>
    <row r="29" spans="1:14" x14ac:dyDescent="0.3">
      <c r="A29" s="8"/>
      <c r="N29" s="9"/>
    </row>
    <row r="30" spans="1:14" x14ac:dyDescent="0.3">
      <c r="A30" s="8"/>
      <c r="N30" s="9"/>
    </row>
    <row r="31" spans="1:14" x14ac:dyDescent="0.3">
      <c r="A31" s="8"/>
      <c r="N31" s="9"/>
    </row>
    <row r="32" spans="1:14" x14ac:dyDescent="0.3">
      <c r="A32" s="8"/>
      <c r="N32" s="9"/>
    </row>
    <row r="33" spans="1:14" x14ac:dyDescent="0.3">
      <c r="A33" s="8"/>
      <c r="N33" s="9"/>
    </row>
    <row r="34" spans="1:14" x14ac:dyDescent="0.3">
      <c r="A34" s="8"/>
      <c r="N34" s="9"/>
    </row>
    <row r="35" spans="1:14" x14ac:dyDescent="0.3">
      <c r="A35" s="8"/>
      <c r="N35" s="9"/>
    </row>
    <row r="36" spans="1:14" x14ac:dyDescent="0.3">
      <c r="A36" s="8"/>
      <c r="N36" s="9"/>
    </row>
    <row r="37" spans="1:14" x14ac:dyDescent="0.3">
      <c r="A37" s="8"/>
      <c r="N37" s="9"/>
    </row>
    <row r="38" spans="1:14" ht="36" customHeight="1" thickBot="1" x14ac:dyDescent="0.35">
      <c r="A38" s="10"/>
      <c r="B38" s="11"/>
      <c r="C38" s="11"/>
      <c r="D38" s="11"/>
      <c r="E38" s="11"/>
      <c r="F38" s="11"/>
      <c r="G38" s="11"/>
      <c r="H38" s="11"/>
      <c r="I38" s="11"/>
      <c r="J38" s="11"/>
      <c r="K38" s="11"/>
      <c r="L38" s="11"/>
      <c r="M38" s="11"/>
      <c r="N38" s="12"/>
    </row>
    <row r="39" spans="1:14" x14ac:dyDescent="0.3">
      <c r="A39">
        <f>AVERAGE(ROW_DATA!F:F)</f>
        <v>5856.0950000000003</v>
      </c>
      <c r="B39">
        <f>COUNT(ROW_DATA!A:A)</f>
        <v>200</v>
      </c>
      <c r="C39">
        <f>SUM(ROW_DATA!G:G)</f>
        <v>218228.06999999995</v>
      </c>
    </row>
  </sheetData>
  <mergeCells count="4">
    <mergeCell ref="A1:N1"/>
    <mergeCell ref="E4:G4"/>
    <mergeCell ref="H4:I4"/>
    <mergeCell ref="K4:L4"/>
  </mergeCells>
  <pageMargins left="0.7" right="0.7" top="0.75" bottom="0.75" header="0.3" footer="0.3"/>
  <pageSetup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Detail1</vt:lpstr>
      <vt:lpstr>ANALYSIS</vt:lpstr>
      <vt:lpstr>ROW_DATA</vt:lpstr>
      <vt:lpstr>DASHBOARD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pranav bhamre</cp:lastModifiedBy>
  <dcterms:created xsi:type="dcterms:W3CDTF">2026-03-29T14:13:31Z</dcterms:created>
  <dcterms:modified xsi:type="dcterms:W3CDTF">2026-03-31T05:05:43Z</dcterms:modified>
</cp:coreProperties>
</file>